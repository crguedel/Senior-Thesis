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3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3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5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6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updateLinks="always"/>
  <mc:AlternateContent xmlns:mc="http://schemas.openxmlformats.org/markup-compatibility/2006">
    <mc:Choice Requires="x15">
      <x15ac:absPath xmlns:x15ac="http://schemas.microsoft.com/office/spreadsheetml/2010/11/ac" url="https://princetonu-my.sharepoint.com/personal/cg3403_princeton_edu/Documents/Undergraduate Research/Thesis Files/Thesis Rmd Doc/"/>
    </mc:Choice>
  </mc:AlternateContent>
  <xr:revisionPtr revIDLastSave="3224" documentId="8_{A018F940-B088-794D-88A1-5AFB82A07C06}" xr6:coauthVersionLast="47" xr6:coauthVersionMax="47" xr10:uidLastSave="{2DC9B991-7E3B-484C-9671-06CACF30FF9A}"/>
  <bookViews>
    <workbookView xWindow="-110" yWindow="-110" windowWidth="19420" windowHeight="10300" tabRatio="671" activeTab="2" xr2:uid="{9A4B6B68-06B4-F443-B8EF-5F5ED7B9A139}"/>
  </bookViews>
  <sheets>
    <sheet name="characterization &amp; setup" sheetId="1" r:id="rId1"/>
    <sheet name="H2 uptake rates" sheetId="2" r:id="rId2"/>
    <sheet name="final WP and GM" sheetId="3" r:id="rId3"/>
    <sheet name="k vs %Sat or WP" sheetId="4" r:id="rId4"/>
  </sheets>
  <definedNames>
    <definedName name="_xlchart.v1.0" hidden="1">'H2 uptake rates'!$A$121</definedName>
    <definedName name="_xlchart.v1.1" hidden="1">'H2 uptake rates'!$A$161</definedName>
    <definedName name="_xlchart.v1.10" hidden="1">'H2 uptake rates'!$W$4:$W$30</definedName>
    <definedName name="_xlchart.v1.11" hidden="1">'H2 uptake rates'!$W$83:$W$109</definedName>
    <definedName name="_xlchart.v1.12" hidden="1">('H2 uptake rates'!$O$122,'H2 uptake rates'!$O$135,'H2 uptake rates'!$O$148)</definedName>
    <definedName name="_xlchart.v1.13" hidden="1">('H2 uptake rates'!$O$162,'H2 uptake rates'!$O$175,'H2 uptake rates'!$O$188)</definedName>
    <definedName name="_xlchart.v1.14" hidden="1">('H2 uptake rates'!$O$201,'H2 uptake rates'!$O$214,'H2 uptake rates'!$O$227)</definedName>
    <definedName name="_xlchart.v1.15" hidden="1">('H2 uptake rates'!$O$4,'H2 uptake rates'!$O$17,'H2 uptake rates'!$O$30)</definedName>
    <definedName name="_xlchart.v1.16" hidden="1">('H2 uptake rates'!$O$43,'H2 uptake rates'!$O$56,'H2 uptake rates'!$O$69)</definedName>
    <definedName name="_xlchart.v1.17" hidden="1">('H2 uptake rates'!$O$83,'H2 uptake rates'!$O$96,'H2 uptake rates'!$O$109)</definedName>
    <definedName name="_xlchart.v1.18" hidden="1">'H2 uptake rates'!$W$122:$W$148</definedName>
    <definedName name="_xlchart.v1.19" hidden="1">'H2 uptake rates'!$W$162:$W$188</definedName>
    <definedName name="_xlchart.v1.2" hidden="1">'H2 uptake rates'!$A$200</definedName>
    <definedName name="_xlchart.v1.20" hidden="1">'H2 uptake rates'!$W$201:$W$227</definedName>
    <definedName name="_xlchart.v1.21" hidden="1">'H2 uptake rates'!$W$43:$W$69</definedName>
    <definedName name="_xlchart.v1.22" hidden="1">'H2 uptake rates'!$W$4:$W$30</definedName>
    <definedName name="_xlchart.v1.23" hidden="1">'H2 uptake rates'!$W$83:$W$109</definedName>
    <definedName name="_xlchart.v1.3" hidden="1">'H2 uptake rates'!$A$3</definedName>
    <definedName name="_xlchart.v1.4" hidden="1">'H2 uptake rates'!$A$42</definedName>
    <definedName name="_xlchart.v1.5" hidden="1">'H2 uptake rates'!$A$82</definedName>
    <definedName name="_xlchart.v1.6" hidden="1">'H2 uptake rates'!$W$122:$W$148</definedName>
    <definedName name="_xlchart.v1.7" hidden="1">'H2 uptake rates'!$W$162:$W$188</definedName>
    <definedName name="_xlchart.v1.8" hidden="1">'H2 uptake rates'!$W$201:$W$227</definedName>
    <definedName name="_xlchart.v1.9" hidden="1">'H2 uptake rates'!$W$43:$W$69</definedName>
    <definedName name="_xlnm.Print_Area" localSheetId="2">'final WP and GM'!$A$1:$O$25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7" i="1" l="1"/>
  <c r="A42" i="1"/>
  <c r="B32" i="1"/>
  <c r="B203" i="1"/>
  <c r="B212" i="1"/>
  <c r="B338" i="1"/>
  <c r="P24" i="4"/>
  <c r="P25" i="4"/>
  <c r="P23" i="4"/>
  <c r="P21" i="4"/>
  <c r="P22" i="4"/>
  <c r="P20" i="4"/>
  <c r="P18" i="4"/>
  <c r="P19" i="4"/>
  <c r="P17" i="4"/>
  <c r="P15" i="4"/>
  <c r="P16" i="4"/>
  <c r="P14" i="4"/>
  <c r="P12" i="4"/>
  <c r="P13" i="4"/>
  <c r="P11" i="4"/>
  <c r="P9" i="4"/>
  <c r="P10" i="4"/>
  <c r="P8" i="4"/>
  <c r="P6" i="4"/>
  <c r="P7" i="4"/>
  <c r="P5" i="4"/>
  <c r="P3" i="4"/>
  <c r="P4" i="4"/>
  <c r="P2" i="4"/>
  <c r="E25" i="4"/>
  <c r="F25" i="4"/>
  <c r="E24" i="4"/>
  <c r="F24" i="4"/>
  <c r="F23" i="4"/>
  <c r="E23" i="4"/>
  <c r="E21" i="4"/>
  <c r="F21" i="4"/>
  <c r="E22" i="4"/>
  <c r="F22" i="4"/>
  <c r="F20" i="4"/>
  <c r="E20" i="4"/>
  <c r="E18" i="4"/>
  <c r="F18" i="4"/>
  <c r="E19" i="4"/>
  <c r="F19" i="4"/>
  <c r="F17" i="4"/>
  <c r="E17" i="4"/>
  <c r="E15" i="4"/>
  <c r="F15" i="4"/>
  <c r="E16" i="4"/>
  <c r="F16" i="4"/>
  <c r="F14" i="4"/>
  <c r="E14" i="4"/>
  <c r="S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C316" i="1" l="1"/>
  <c r="C269" i="1"/>
  <c r="C179" i="1"/>
  <c r="C222" i="1"/>
  <c r="C136" i="1"/>
  <c r="C94" i="1"/>
  <c r="B317" i="1" l="1"/>
  <c r="B270" i="1"/>
  <c r="B180" i="1"/>
  <c r="B223" i="1"/>
  <c r="B137" i="1"/>
  <c r="B95" i="1"/>
  <c r="B52" i="1"/>
  <c r="C51" i="1"/>
  <c r="C4" i="1"/>
  <c r="B5" i="1"/>
  <c r="I315" i="2"/>
  <c r="C315" i="2"/>
  <c r="I314" i="2"/>
  <c r="C314" i="2"/>
  <c r="I313" i="2"/>
  <c r="C313" i="2"/>
  <c r="I312" i="2"/>
  <c r="C312" i="2"/>
  <c r="I311" i="2"/>
  <c r="C311" i="2"/>
  <c r="I310" i="2"/>
  <c r="C310" i="2"/>
  <c r="I309" i="2"/>
  <c r="C309" i="2"/>
  <c r="I308" i="2"/>
  <c r="C308" i="2"/>
  <c r="I307" i="2"/>
  <c r="C307" i="2"/>
  <c r="I306" i="2"/>
  <c r="C306" i="2"/>
  <c r="I302" i="2"/>
  <c r="C302" i="2"/>
  <c r="I301" i="2"/>
  <c r="C301" i="2"/>
  <c r="I300" i="2"/>
  <c r="C300" i="2"/>
  <c r="I299" i="2"/>
  <c r="C299" i="2"/>
  <c r="I298" i="2"/>
  <c r="C298" i="2"/>
  <c r="I297" i="2"/>
  <c r="C297" i="2"/>
  <c r="I296" i="2"/>
  <c r="C296" i="2"/>
  <c r="I295" i="2"/>
  <c r="C295" i="2"/>
  <c r="I294" i="2"/>
  <c r="C294" i="2"/>
  <c r="I293" i="2"/>
  <c r="C293" i="2"/>
  <c r="C289" i="2"/>
  <c r="I289" i="2"/>
  <c r="I288" i="2"/>
  <c r="C288" i="2"/>
  <c r="I287" i="2"/>
  <c r="C287" i="2"/>
  <c r="I286" i="2"/>
  <c r="C286" i="2"/>
  <c r="I285" i="2"/>
  <c r="C285" i="2"/>
  <c r="I284" i="2"/>
  <c r="C284" i="2"/>
  <c r="I283" i="2"/>
  <c r="C283" i="2"/>
  <c r="I282" i="2"/>
  <c r="C282" i="2"/>
  <c r="I281" i="2"/>
  <c r="C281" i="2"/>
  <c r="I280" i="2"/>
  <c r="C280" i="2"/>
  <c r="I275" i="2"/>
  <c r="C275" i="2"/>
  <c r="I274" i="2"/>
  <c r="C274" i="2"/>
  <c r="I273" i="2"/>
  <c r="C273" i="2"/>
  <c r="I272" i="2"/>
  <c r="C272" i="2"/>
  <c r="I271" i="2"/>
  <c r="C271" i="2"/>
  <c r="I270" i="2"/>
  <c r="C270" i="2"/>
  <c r="I269" i="2"/>
  <c r="C269" i="2"/>
  <c r="I268" i="2"/>
  <c r="C268" i="2"/>
  <c r="I267" i="2"/>
  <c r="C267" i="2"/>
  <c r="I262" i="2"/>
  <c r="C262" i="2"/>
  <c r="I261" i="2"/>
  <c r="C261" i="2"/>
  <c r="I260" i="2"/>
  <c r="C260" i="2"/>
  <c r="I259" i="2"/>
  <c r="C259" i="2"/>
  <c r="I258" i="2"/>
  <c r="C258" i="2"/>
  <c r="I257" i="2"/>
  <c r="C257" i="2"/>
  <c r="I256" i="2"/>
  <c r="C256" i="2"/>
  <c r="I255" i="2"/>
  <c r="C255" i="2"/>
  <c r="I254" i="2"/>
  <c r="C254" i="2"/>
  <c r="I249" i="2"/>
  <c r="C249" i="2"/>
  <c r="I248" i="2"/>
  <c r="C248" i="2"/>
  <c r="I247" i="2"/>
  <c r="C247" i="2"/>
  <c r="I246" i="2"/>
  <c r="C246" i="2"/>
  <c r="I245" i="2"/>
  <c r="C245" i="2"/>
  <c r="I244" i="2"/>
  <c r="C244" i="2"/>
  <c r="I243" i="2"/>
  <c r="C243" i="2"/>
  <c r="I242" i="2"/>
  <c r="C242" i="2"/>
  <c r="I241" i="2"/>
  <c r="C241" i="2"/>
  <c r="F25" i="3"/>
  <c r="F24" i="3"/>
  <c r="F23" i="3"/>
  <c r="F22" i="3"/>
  <c r="F21" i="3"/>
  <c r="F20" i="3"/>
  <c r="F19" i="3"/>
  <c r="F18" i="3"/>
  <c r="F17" i="3"/>
  <c r="F16" i="3"/>
  <c r="F15" i="3"/>
  <c r="F14" i="3"/>
  <c r="I14" i="3" s="1"/>
  <c r="G14" i="4" s="1"/>
  <c r="F13" i="3"/>
  <c r="F12" i="3"/>
  <c r="F11" i="3"/>
  <c r="F10" i="3"/>
  <c r="F9" i="3"/>
  <c r="F8" i="3"/>
  <c r="F7" i="3"/>
  <c r="F6" i="3"/>
  <c r="I6" i="3" s="1"/>
  <c r="G6" i="4" s="1"/>
  <c r="F5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F3" i="3"/>
  <c r="I3" i="3" s="1"/>
  <c r="G3" i="4" s="1"/>
  <c r="F4" i="3"/>
  <c r="I4" i="3" s="1"/>
  <c r="G4" i="4" s="1"/>
  <c r="F2" i="3"/>
  <c r="D3" i="3"/>
  <c r="D4" i="3"/>
  <c r="D2" i="3"/>
  <c r="E300" i="2" a="1"/>
  <c r="E273" i="2" a="1"/>
  <c r="E258" i="2" a="1"/>
  <c r="E294" i="2" a="1"/>
  <c r="E301" i="2" a="1"/>
  <c r="E285" i="2" a="1"/>
  <c r="E255" i="2" a="1"/>
  <c r="E293" i="2" a="1"/>
  <c r="E259" i="2" a="1"/>
  <c r="E274" i="2" a="1"/>
  <c r="E268" i="2" a="1"/>
  <c r="E284" i="2" a="1"/>
  <c r="E269" i="2" a="1"/>
  <c r="E314" i="2" a="1"/>
  <c r="E248" i="2" a="1"/>
  <c r="E272" i="2" a="1"/>
  <c r="E261" i="2" a="1"/>
  <c r="E244" i="2" a="1"/>
  <c r="E298" i="2" a="1"/>
  <c r="E283" i="2" a="1"/>
  <c r="E297" i="2" a="1"/>
  <c r="E302" i="2" a="1"/>
  <c r="E257" i="2" a="1"/>
  <c r="E249" i="2" a="1"/>
  <c r="E260" i="2" a="1"/>
  <c r="E312" i="2" a="1"/>
  <c r="E241" i="2" a="1"/>
  <c r="E295" i="2" a="1"/>
  <c r="E242" i="2" a="1"/>
  <c r="E310" i="2" a="1"/>
  <c r="E299" i="2" a="1"/>
  <c r="E262" i="2" a="1"/>
  <c r="E280" i="2" a="1"/>
  <c r="E243" i="2" a="1"/>
  <c r="E296" i="2" a="1"/>
  <c r="E311" i="2" a="1"/>
  <c r="E286" i="2" a="1"/>
  <c r="E313" i="2" a="1"/>
  <c r="E307" i="2" a="1"/>
  <c r="E245" i="2" a="1"/>
  <c r="E282" i="2" a="1"/>
  <c r="E256" i="2" a="1"/>
  <c r="E287" i="2" a="1"/>
  <c r="E270" i="2" a="1"/>
  <c r="E289" i="2" a="1"/>
  <c r="E306" i="2" a="1"/>
  <c r="E247" i="2" a="1"/>
  <c r="E275" i="2" a="1"/>
  <c r="E267" i="2" a="1"/>
  <c r="E254" i="2" a="1"/>
  <c r="E246" i="2" a="1"/>
  <c r="E281" i="2" a="1"/>
  <c r="E309" i="2" a="1"/>
  <c r="E308" i="2" a="1"/>
  <c r="E315" i="2" a="1"/>
  <c r="E271" i="2" a="1"/>
  <c r="E288" i="2" a="1"/>
  <c r="I22" i="3" l="1"/>
  <c r="G22" i="4" s="1"/>
  <c r="I22" i="4" s="1"/>
  <c r="U22" i="4" s="1"/>
  <c r="I7" i="3"/>
  <c r="G7" i="4" s="1"/>
  <c r="I15" i="3"/>
  <c r="G15" i="4" s="1"/>
  <c r="I15" i="4" s="1"/>
  <c r="U15" i="4" s="1"/>
  <c r="I23" i="3"/>
  <c r="G23" i="4" s="1"/>
  <c r="H23" i="4" s="1"/>
  <c r="I16" i="3"/>
  <c r="G16" i="4" s="1"/>
  <c r="I8" i="3"/>
  <c r="G8" i="4" s="1"/>
  <c r="I24" i="3"/>
  <c r="G24" i="4" s="1"/>
  <c r="I25" i="3"/>
  <c r="G25" i="4" s="1"/>
  <c r="I14" i="4"/>
  <c r="U14" i="4" s="1"/>
  <c r="H14" i="4"/>
  <c r="I9" i="3"/>
  <c r="G9" i="4" s="1"/>
  <c r="I17" i="3"/>
  <c r="G17" i="4" s="1"/>
  <c r="I10" i="3"/>
  <c r="G10" i="4" s="1"/>
  <c r="I18" i="3"/>
  <c r="G18" i="4" s="1"/>
  <c r="J4" i="3"/>
  <c r="J3" i="3"/>
  <c r="I11" i="3"/>
  <c r="G11" i="4" s="1"/>
  <c r="I19" i="3"/>
  <c r="G19" i="4" s="1"/>
  <c r="I12" i="3"/>
  <c r="G12" i="4" s="1"/>
  <c r="I20" i="3"/>
  <c r="G20" i="4" s="1"/>
  <c r="I2" i="3"/>
  <c r="I5" i="3"/>
  <c r="G5" i="4" s="1"/>
  <c r="I13" i="3"/>
  <c r="G13" i="4" s="1"/>
  <c r="I21" i="3"/>
  <c r="G21" i="4" s="1"/>
  <c r="E312" i="2"/>
  <c r="E314" i="2"/>
  <c r="E308" i="2"/>
  <c r="E309" i="2"/>
  <c r="E313" i="2"/>
  <c r="E306" i="2"/>
  <c r="E310" i="2"/>
  <c r="E307" i="2"/>
  <c r="E311" i="2"/>
  <c r="E315" i="2"/>
  <c r="E295" i="2"/>
  <c r="E299" i="2"/>
  <c r="E296" i="2"/>
  <c r="E300" i="2"/>
  <c r="E293" i="2"/>
  <c r="E297" i="2"/>
  <c r="E301" i="2"/>
  <c r="E294" i="2"/>
  <c r="E298" i="2"/>
  <c r="E302" i="2"/>
  <c r="E289" i="2"/>
  <c r="E285" i="2"/>
  <c r="E286" i="2"/>
  <c r="E287" i="2"/>
  <c r="E281" i="2"/>
  <c r="E282" i="2"/>
  <c r="E283" i="2"/>
  <c r="E284" i="2"/>
  <c r="E288" i="2"/>
  <c r="E280" i="2"/>
  <c r="E272" i="2"/>
  <c r="E274" i="2"/>
  <c r="E270" i="2"/>
  <c r="E275" i="2"/>
  <c r="E268" i="2"/>
  <c r="E269" i="2"/>
  <c r="E273" i="2"/>
  <c r="E267" i="2"/>
  <c r="E271" i="2"/>
  <c r="E255" i="2"/>
  <c r="E259" i="2"/>
  <c r="E256" i="2"/>
  <c r="E260" i="2"/>
  <c r="E257" i="2"/>
  <c r="E261" i="2"/>
  <c r="E254" i="2"/>
  <c r="E258" i="2"/>
  <c r="E262" i="2"/>
  <c r="E245" i="2"/>
  <c r="E249" i="2"/>
  <c r="E242" i="2"/>
  <c r="E246" i="2"/>
  <c r="E243" i="2"/>
  <c r="E247" i="2"/>
  <c r="E244" i="2"/>
  <c r="E248" i="2"/>
  <c r="E241" i="2"/>
  <c r="G2" i="4" l="1"/>
  <c r="H15" i="4"/>
  <c r="I23" i="4"/>
  <c r="U23" i="4" s="1"/>
  <c r="H22" i="4"/>
  <c r="I18" i="4"/>
  <c r="U18" i="4" s="1"/>
  <c r="H18" i="4"/>
  <c r="I25" i="4"/>
  <c r="U25" i="4" s="1"/>
  <c r="H25" i="4"/>
  <c r="I24" i="4"/>
  <c r="U24" i="4" s="1"/>
  <c r="H24" i="4"/>
  <c r="I17" i="4"/>
  <c r="U17" i="4" s="1"/>
  <c r="H17" i="4"/>
  <c r="H19" i="4"/>
  <c r="I19" i="4"/>
  <c r="U19" i="4" s="1"/>
  <c r="I16" i="4"/>
  <c r="U16" i="4" s="1"/>
  <c r="H16" i="4"/>
  <c r="I20" i="4"/>
  <c r="U20" i="4" s="1"/>
  <c r="H20" i="4"/>
  <c r="H21" i="4"/>
  <c r="I21" i="4"/>
  <c r="U21" i="4" s="1"/>
  <c r="J2" i="3"/>
  <c r="I235" i="2"/>
  <c r="I236" i="2"/>
  <c r="I237" i="2"/>
  <c r="I238" i="2"/>
  <c r="C237" i="2"/>
  <c r="C238" i="2"/>
  <c r="I222" i="2"/>
  <c r="I223" i="2"/>
  <c r="I224" i="2"/>
  <c r="I225" i="2"/>
  <c r="C224" i="2"/>
  <c r="C225" i="2"/>
  <c r="I211" i="2"/>
  <c r="I212" i="2"/>
  <c r="C212" i="2"/>
  <c r="C211" i="2"/>
  <c r="C201" i="2"/>
  <c r="I156" i="2"/>
  <c r="I157" i="2"/>
  <c r="I72" i="2"/>
  <c r="I73" i="2"/>
  <c r="I74" i="2"/>
  <c r="I75" i="2"/>
  <c r="I76" i="2"/>
  <c r="I77" i="2"/>
  <c r="I78" i="2"/>
  <c r="I143" i="2"/>
  <c r="I144" i="2"/>
  <c r="C236" i="2"/>
  <c r="C235" i="2"/>
  <c r="C227" i="2"/>
  <c r="C223" i="2"/>
  <c r="C222" i="2"/>
  <c r="C214" i="2"/>
  <c r="C188" i="2"/>
  <c r="C175" i="2"/>
  <c r="C169" i="2"/>
  <c r="C168" i="2"/>
  <c r="C167" i="2"/>
  <c r="C166" i="2"/>
  <c r="C165" i="2"/>
  <c r="C164" i="2"/>
  <c r="C163" i="2"/>
  <c r="C162" i="2"/>
  <c r="C157" i="2"/>
  <c r="C156" i="2"/>
  <c r="C148" i="2"/>
  <c r="C144" i="2"/>
  <c r="C143" i="2"/>
  <c r="C135" i="2"/>
  <c r="C122" i="2"/>
  <c r="C109" i="2"/>
  <c r="C96" i="2"/>
  <c r="I96" i="2"/>
  <c r="I97" i="2"/>
  <c r="I98" i="2"/>
  <c r="I99" i="2"/>
  <c r="I100" i="2"/>
  <c r="I101" i="2"/>
  <c r="I102" i="2"/>
  <c r="I103" i="2"/>
  <c r="I104" i="2"/>
  <c r="I91" i="2"/>
  <c r="C91" i="2"/>
  <c r="I90" i="2"/>
  <c r="C90" i="2"/>
  <c r="I89" i="2"/>
  <c r="C89" i="2"/>
  <c r="I88" i="2"/>
  <c r="C88" i="2"/>
  <c r="I87" i="2"/>
  <c r="C87" i="2"/>
  <c r="I86" i="2"/>
  <c r="C86" i="2"/>
  <c r="I85" i="2"/>
  <c r="C85" i="2"/>
  <c r="I84" i="2"/>
  <c r="C84" i="2"/>
  <c r="I83" i="2"/>
  <c r="C83" i="2"/>
  <c r="E236" i="2" a="1"/>
  <c r="E237" i="2" a="1"/>
  <c r="E227" i="2" a="1"/>
  <c r="E148" i="2" a="1"/>
  <c r="E188" i="2" a="1"/>
  <c r="E212" i="2" a="1"/>
  <c r="E90" i="2" a="1"/>
  <c r="E167" i="2" a="1"/>
  <c r="E166" i="2" a="1"/>
  <c r="E214" i="2" a="1"/>
  <c r="E157" i="2" a="1"/>
  <c r="E223" i="2" a="1"/>
  <c r="E86" i="2" a="1"/>
  <c r="E91" i="2" a="1"/>
  <c r="E163" i="2" a="1"/>
  <c r="E83" i="2" a="1"/>
  <c r="E144" i="2" a="1"/>
  <c r="E87" i="2" a="1"/>
  <c r="E156" i="2" a="1"/>
  <c r="E175" i="2" a="1"/>
  <c r="E211" i="2" a="1"/>
  <c r="E169" i="2" a="1"/>
  <c r="E222" i="2" a="1"/>
  <c r="E164" i="2" a="1"/>
  <c r="E135" i="2" a="1"/>
  <c r="E165" i="2" a="1"/>
  <c r="E235" i="2" a="1"/>
  <c r="E96" i="2" a="1"/>
  <c r="E224" i="2" a="1"/>
  <c r="E143" i="2" a="1"/>
  <c r="E201" i="2" a="1"/>
  <c r="E109" i="2" a="1"/>
  <c r="E122" i="2" a="1"/>
  <c r="E238" i="2" a="1"/>
  <c r="E84" i="2" a="1"/>
  <c r="E85" i="2" a="1"/>
  <c r="E162" i="2" a="1"/>
  <c r="E168" i="2" a="1"/>
  <c r="E225" i="2" a="1"/>
  <c r="X24" i="4" l="1"/>
  <c r="X21" i="4"/>
  <c r="E188" i="2"/>
  <c r="E238" i="2"/>
  <c r="E237" i="2"/>
  <c r="E225" i="2"/>
  <c r="E224" i="2"/>
  <c r="E212" i="2"/>
  <c r="E211" i="2"/>
  <c r="E227" i="2"/>
  <c r="E235" i="2"/>
  <c r="E236" i="2"/>
  <c r="E222" i="2"/>
  <c r="E223" i="2"/>
  <c r="E214" i="2"/>
  <c r="E201" i="2"/>
  <c r="E175" i="2"/>
  <c r="E164" i="2"/>
  <c r="E168" i="2"/>
  <c r="E169" i="2"/>
  <c r="E165" i="2"/>
  <c r="E162" i="2"/>
  <c r="E166" i="2"/>
  <c r="E163" i="2"/>
  <c r="E167" i="2"/>
  <c r="E157" i="2"/>
  <c r="E144" i="2"/>
  <c r="E148" i="2"/>
  <c r="E156" i="2"/>
  <c r="E135" i="2"/>
  <c r="E143" i="2"/>
  <c r="E122" i="2"/>
  <c r="E109" i="2"/>
  <c r="E96" i="2"/>
  <c r="E91" i="2"/>
  <c r="E83" i="2"/>
  <c r="E87" i="2"/>
  <c r="E84" i="2"/>
  <c r="E86" i="2"/>
  <c r="E85" i="2"/>
  <c r="E90" i="2"/>
  <c r="C19" i="2" l="1"/>
  <c r="C32" i="2"/>
  <c r="C69" i="2" l="1"/>
  <c r="C78" i="2"/>
  <c r="C77" i="2"/>
  <c r="C76" i="2"/>
  <c r="C75" i="2"/>
  <c r="C74" i="2"/>
  <c r="C73" i="2"/>
  <c r="C72" i="2"/>
  <c r="C71" i="2"/>
  <c r="I70" i="2"/>
  <c r="C70" i="2"/>
  <c r="I69" i="2"/>
  <c r="I65" i="2"/>
  <c r="C65" i="2"/>
  <c r="I64" i="2"/>
  <c r="C64" i="2"/>
  <c r="I63" i="2"/>
  <c r="C63" i="2"/>
  <c r="I62" i="2"/>
  <c r="C62" i="2"/>
  <c r="I61" i="2"/>
  <c r="C61" i="2"/>
  <c r="I60" i="2"/>
  <c r="C60" i="2"/>
  <c r="I59" i="2"/>
  <c r="C59" i="2"/>
  <c r="C58" i="2"/>
  <c r="I57" i="2"/>
  <c r="C57" i="2"/>
  <c r="I56" i="2"/>
  <c r="C56" i="2"/>
  <c r="I52" i="2"/>
  <c r="C52" i="2"/>
  <c r="I51" i="2"/>
  <c r="C51" i="2"/>
  <c r="I50" i="2"/>
  <c r="C50" i="2"/>
  <c r="I49" i="2"/>
  <c r="C49" i="2"/>
  <c r="I48" i="2"/>
  <c r="C48" i="2"/>
  <c r="C47" i="2"/>
  <c r="I46" i="2"/>
  <c r="C46" i="2"/>
  <c r="C45" i="2"/>
  <c r="I44" i="2"/>
  <c r="C44" i="2"/>
  <c r="I43" i="2"/>
  <c r="C43" i="2"/>
  <c r="I234" i="2"/>
  <c r="I233" i="2"/>
  <c r="I232" i="2"/>
  <c r="I231" i="2"/>
  <c r="I230" i="2"/>
  <c r="I229" i="2"/>
  <c r="I228" i="2"/>
  <c r="I227" i="2"/>
  <c r="I221" i="2"/>
  <c r="I220" i="2"/>
  <c r="I219" i="2"/>
  <c r="I218" i="2"/>
  <c r="I217" i="2"/>
  <c r="I216" i="2"/>
  <c r="I215" i="2"/>
  <c r="I214" i="2"/>
  <c r="I210" i="2"/>
  <c r="I209" i="2"/>
  <c r="I208" i="2"/>
  <c r="I207" i="2"/>
  <c r="I206" i="2"/>
  <c r="I205" i="2"/>
  <c r="I204" i="2"/>
  <c r="I203" i="2"/>
  <c r="I202" i="2"/>
  <c r="I201" i="2"/>
  <c r="I195" i="2"/>
  <c r="I194" i="2"/>
  <c r="I193" i="2"/>
  <c r="I192" i="2"/>
  <c r="I191" i="2"/>
  <c r="I190" i="2"/>
  <c r="I189" i="2"/>
  <c r="I188" i="2"/>
  <c r="I182" i="2"/>
  <c r="I181" i="2"/>
  <c r="I180" i="2"/>
  <c r="I179" i="2"/>
  <c r="I178" i="2"/>
  <c r="I177" i="2"/>
  <c r="I176" i="2"/>
  <c r="I175" i="2"/>
  <c r="I169" i="2"/>
  <c r="I168" i="2"/>
  <c r="I167" i="2"/>
  <c r="I166" i="2"/>
  <c r="I165" i="2"/>
  <c r="I164" i="2"/>
  <c r="I163" i="2"/>
  <c r="I162" i="2"/>
  <c r="I155" i="2"/>
  <c r="I154" i="2"/>
  <c r="I153" i="2"/>
  <c r="I152" i="2"/>
  <c r="I151" i="2"/>
  <c r="I150" i="2"/>
  <c r="I148" i="2"/>
  <c r="I136" i="2"/>
  <c r="I137" i="2"/>
  <c r="I138" i="2"/>
  <c r="I139" i="2"/>
  <c r="I140" i="2"/>
  <c r="I141" i="2"/>
  <c r="I142" i="2"/>
  <c r="I135" i="2"/>
  <c r="I131" i="2"/>
  <c r="I130" i="2"/>
  <c r="I129" i="2"/>
  <c r="I128" i="2"/>
  <c r="I127" i="2"/>
  <c r="I126" i="2"/>
  <c r="I125" i="2"/>
  <c r="I124" i="2"/>
  <c r="I123" i="2"/>
  <c r="I122" i="2"/>
  <c r="I117" i="2"/>
  <c r="I116" i="2"/>
  <c r="I115" i="2"/>
  <c r="I114" i="2"/>
  <c r="I113" i="2"/>
  <c r="I112" i="2"/>
  <c r="I111" i="2"/>
  <c r="I110" i="2"/>
  <c r="I109" i="2"/>
  <c r="I39" i="2"/>
  <c r="I38" i="2"/>
  <c r="I37" i="2"/>
  <c r="I36" i="2"/>
  <c r="I35" i="2"/>
  <c r="I34" i="2"/>
  <c r="I33" i="2"/>
  <c r="I31" i="2"/>
  <c r="I30" i="2"/>
  <c r="I26" i="2"/>
  <c r="I25" i="2"/>
  <c r="I24" i="2"/>
  <c r="I23" i="2"/>
  <c r="I22" i="2"/>
  <c r="I21" i="2"/>
  <c r="I20" i="2"/>
  <c r="I18" i="2"/>
  <c r="I17" i="2"/>
  <c r="I5" i="2"/>
  <c r="I6" i="2"/>
  <c r="I7" i="2"/>
  <c r="I8" i="2"/>
  <c r="I9" i="2"/>
  <c r="I10" i="2"/>
  <c r="I11" i="2"/>
  <c r="I12" i="2"/>
  <c r="I13" i="2"/>
  <c r="I4" i="2"/>
  <c r="C30" i="2"/>
  <c r="C31" i="2"/>
  <c r="C33" i="2"/>
  <c r="C34" i="2"/>
  <c r="C35" i="2"/>
  <c r="C36" i="2"/>
  <c r="C37" i="2"/>
  <c r="C38" i="2"/>
  <c r="C39" i="2"/>
  <c r="C17" i="2"/>
  <c r="C18" i="2"/>
  <c r="C20" i="2"/>
  <c r="C21" i="2"/>
  <c r="C22" i="2"/>
  <c r="C23" i="2"/>
  <c r="C24" i="2"/>
  <c r="C25" i="2"/>
  <c r="C26" i="2"/>
  <c r="E20" i="2" a="1"/>
  <c r="E21" i="2" a="1"/>
  <c r="E74" i="2" a="1"/>
  <c r="E73" i="2" a="1"/>
  <c r="E39" i="2" a="1"/>
  <c r="E34" i="2" a="1"/>
  <c r="E69" i="2" a="1"/>
  <c r="E48" i="2" a="1"/>
  <c r="E31" i="2" a="1"/>
  <c r="E59" i="2" a="1"/>
  <c r="E35" i="2" a="1"/>
  <c r="E62" i="2" a="1"/>
  <c r="E25" i="2" a="1"/>
  <c r="E77" i="2" a="1"/>
  <c r="E57" i="2" a="1"/>
  <c r="E50" i="2" a="1"/>
  <c r="E61" i="2" a="1"/>
  <c r="E51" i="2" a="1"/>
  <c r="E23" i="2" a="1"/>
  <c r="E49" i="2" a="1"/>
  <c r="E33" i="2" a="1"/>
  <c r="E76" i="2" a="1"/>
  <c r="E18" i="2" a="1"/>
  <c r="E60" i="2" a="1"/>
  <c r="E44" i="2" a="1"/>
  <c r="E56" i="2" a="1"/>
  <c r="E22" i="2" a="1"/>
  <c r="E24" i="2" a="1"/>
  <c r="E36" i="2" a="1"/>
  <c r="E63" i="2" a="1"/>
  <c r="E38" i="2" a="1"/>
  <c r="E78" i="2" a="1"/>
  <c r="E64" i="2" a="1"/>
  <c r="E75" i="2" a="1"/>
  <c r="E17" i="2" a="1"/>
  <c r="E37" i="2" a="1"/>
  <c r="E46" i="2" a="1"/>
  <c r="E26" i="2" a="1"/>
  <c r="E43" i="2" a="1"/>
  <c r="E70" i="2" a="1"/>
  <c r="E30" i="2" a="1"/>
  <c r="E65" i="2" a="1"/>
  <c r="E72" i="2" a="1"/>
  <c r="E52" i="2" a="1"/>
  <c r="E78" i="2" l="1"/>
  <c r="E46" i="2"/>
  <c r="E23" i="2"/>
  <c r="E20" i="2"/>
  <c r="E24" i="2"/>
  <c r="E25" i="2"/>
  <c r="E17" i="2"/>
  <c r="E18" i="2"/>
  <c r="E22" i="2"/>
  <c r="E26" i="2"/>
  <c r="E21" i="2"/>
  <c r="E36" i="2"/>
  <c r="E33" i="2"/>
  <c r="E37" i="2"/>
  <c r="E30" i="2"/>
  <c r="E38" i="2"/>
  <c r="E34" i="2"/>
  <c r="E31" i="2"/>
  <c r="E39" i="2"/>
  <c r="E35" i="2"/>
  <c r="E76" i="2"/>
  <c r="E77" i="2"/>
  <c r="E69" i="2"/>
  <c r="E75" i="2"/>
  <c r="E72" i="2"/>
  <c r="E70" i="2"/>
  <c r="E74" i="2"/>
  <c r="E73" i="2"/>
  <c r="E56" i="2"/>
  <c r="E60" i="2"/>
  <c r="E64" i="2"/>
  <c r="E59" i="2"/>
  <c r="E62" i="2"/>
  <c r="E63" i="2"/>
  <c r="E57" i="2"/>
  <c r="E61" i="2"/>
  <c r="E65" i="2"/>
  <c r="E43" i="2"/>
  <c r="E51" i="2"/>
  <c r="E44" i="2"/>
  <c r="E48" i="2"/>
  <c r="E52" i="2"/>
  <c r="E49" i="2"/>
  <c r="E50" i="2"/>
  <c r="B293" i="1"/>
  <c r="B294" i="1"/>
  <c r="B295" i="1"/>
  <c r="B296" i="1"/>
  <c r="B297" i="1"/>
  <c r="B298" i="1"/>
  <c r="B299" i="1"/>
  <c r="B300" i="1"/>
  <c r="B301" i="1"/>
  <c r="B302" i="1"/>
  <c r="B303" i="1"/>
  <c r="B292" i="1"/>
  <c r="B339" i="1"/>
  <c r="B340" i="1"/>
  <c r="B341" i="1"/>
  <c r="B342" i="1"/>
  <c r="B343" i="1"/>
  <c r="B344" i="1"/>
  <c r="B345" i="1"/>
  <c r="B346" i="1"/>
  <c r="B347" i="1"/>
  <c r="B348" i="1"/>
  <c r="K329" i="1"/>
  <c r="F329" i="1"/>
  <c r="D329" i="1"/>
  <c r="K328" i="1"/>
  <c r="F328" i="1"/>
  <c r="D328" i="1"/>
  <c r="K283" i="1"/>
  <c r="F283" i="1"/>
  <c r="D283" i="1"/>
  <c r="K282" i="1"/>
  <c r="F282" i="1"/>
  <c r="D282" i="1"/>
  <c r="K281" i="1"/>
  <c r="F281" i="1"/>
  <c r="D281" i="1"/>
  <c r="C5" i="2"/>
  <c r="C6" i="2"/>
  <c r="C7" i="2"/>
  <c r="C8" i="2"/>
  <c r="C9" i="2"/>
  <c r="C10" i="2"/>
  <c r="C11" i="2"/>
  <c r="C12" i="2"/>
  <c r="C13" i="2"/>
  <c r="C4" i="2"/>
  <c r="E10" i="2" a="1"/>
  <c r="E6" i="2" a="1"/>
  <c r="E4" i="2" a="1"/>
  <c r="E8" i="2" a="1"/>
  <c r="E12" i="2" a="1"/>
  <c r="E11" i="2" a="1"/>
  <c r="E9" i="2" a="1"/>
  <c r="E7" i="2" a="1"/>
  <c r="E13" i="2" a="1"/>
  <c r="E5" i="2" a="1"/>
  <c r="G329" i="1" l="1"/>
  <c r="G282" i="1"/>
  <c r="L329" i="1"/>
  <c r="H329" i="1"/>
  <c r="D330" i="1"/>
  <c r="G328" i="1"/>
  <c r="G330" i="1" s="1"/>
  <c r="G331" i="1" s="1"/>
  <c r="C315" i="1" s="1"/>
  <c r="G283" i="1"/>
  <c r="L283" i="1" s="1"/>
  <c r="L282" i="1"/>
  <c r="D284" i="1"/>
  <c r="G281" i="1"/>
  <c r="H281" i="1"/>
  <c r="E12" i="2"/>
  <c r="E11" i="2"/>
  <c r="E10" i="2"/>
  <c r="E6" i="2"/>
  <c r="E9" i="2"/>
  <c r="E4" i="2"/>
  <c r="E13" i="2"/>
  <c r="E8" i="2"/>
  <c r="E5" i="2"/>
  <c r="E7" i="2"/>
  <c r="H282" i="1"/>
  <c r="H283" i="1"/>
  <c r="C317" i="1" l="1"/>
  <c r="I329" i="1" s="1"/>
  <c r="G25" i="3"/>
  <c r="G24" i="3"/>
  <c r="G23" i="3"/>
  <c r="G284" i="1"/>
  <c r="G285" i="1" s="1"/>
  <c r="C268" i="1" s="1"/>
  <c r="L328" i="1"/>
  <c r="L330" i="1" s="1"/>
  <c r="B323" i="1" s="1"/>
  <c r="B324" i="1" s="1"/>
  <c r="H328" i="1"/>
  <c r="L281" i="1"/>
  <c r="L284" i="1" s="1"/>
  <c r="B276" i="1" s="1"/>
  <c r="B277" i="1" s="1"/>
  <c r="H284" i="1"/>
  <c r="C234" i="2"/>
  <c r="C233" i="2"/>
  <c r="C232" i="2"/>
  <c r="C231" i="2"/>
  <c r="C230" i="2"/>
  <c r="C229" i="2"/>
  <c r="C228" i="2"/>
  <c r="C221" i="2"/>
  <c r="C220" i="2"/>
  <c r="C219" i="2"/>
  <c r="C218" i="2"/>
  <c r="C217" i="2"/>
  <c r="C216" i="2"/>
  <c r="C215" i="2"/>
  <c r="C210" i="2"/>
  <c r="C209" i="2"/>
  <c r="C208" i="2"/>
  <c r="C207" i="2"/>
  <c r="C206" i="2"/>
  <c r="C205" i="2"/>
  <c r="C204" i="2"/>
  <c r="C203" i="2"/>
  <c r="C202" i="2"/>
  <c r="C195" i="2"/>
  <c r="C194" i="2"/>
  <c r="C193" i="2"/>
  <c r="C192" i="2"/>
  <c r="C191" i="2"/>
  <c r="C190" i="2"/>
  <c r="C189" i="2"/>
  <c r="C182" i="2"/>
  <c r="C181" i="2"/>
  <c r="C180" i="2"/>
  <c r="C179" i="2"/>
  <c r="C178" i="2"/>
  <c r="C177" i="2"/>
  <c r="C176" i="2"/>
  <c r="C155" i="2"/>
  <c r="C154" i="2"/>
  <c r="C153" i="2"/>
  <c r="C152" i="2"/>
  <c r="C151" i="2"/>
  <c r="C150" i="2"/>
  <c r="C149" i="2"/>
  <c r="C142" i="2"/>
  <c r="C141" i="2"/>
  <c r="C140" i="2"/>
  <c r="C139" i="2"/>
  <c r="C138" i="2"/>
  <c r="C137" i="2"/>
  <c r="C136" i="2"/>
  <c r="C131" i="2"/>
  <c r="C130" i="2"/>
  <c r="C129" i="2"/>
  <c r="C128" i="2"/>
  <c r="C127" i="2"/>
  <c r="C126" i="2"/>
  <c r="C125" i="2"/>
  <c r="C124" i="2"/>
  <c r="C123" i="2"/>
  <c r="C117" i="2"/>
  <c r="C116" i="2"/>
  <c r="C115" i="2"/>
  <c r="C114" i="2"/>
  <c r="C113" i="2"/>
  <c r="C112" i="2"/>
  <c r="C111" i="2"/>
  <c r="C110" i="2"/>
  <c r="C104" i="2"/>
  <c r="C103" i="2"/>
  <c r="C102" i="2"/>
  <c r="C101" i="2"/>
  <c r="C100" i="2"/>
  <c r="C99" i="2"/>
  <c r="C98" i="2"/>
  <c r="C97" i="2"/>
  <c r="E125" i="2" a="1"/>
  <c r="E178" i="2" a="1"/>
  <c r="E179" i="2" a="1"/>
  <c r="E203" i="2" a="1"/>
  <c r="E234" i="2" a="1"/>
  <c r="E232" i="2" a="1"/>
  <c r="E113" i="2" a="1"/>
  <c r="E128" i="2" a="1"/>
  <c r="E151" i="2" a="1"/>
  <c r="E130" i="2" a="1"/>
  <c r="E177" i="2" a="1"/>
  <c r="E153" i="2" a="1"/>
  <c r="E141" i="2" a="1"/>
  <c r="E220" i="2" a="1"/>
  <c r="E152" i="2" a="1"/>
  <c r="E98" i="2" a="1"/>
  <c r="E233" i="2" a="1"/>
  <c r="E100" i="2" a="1"/>
  <c r="E131" i="2" a="1"/>
  <c r="E191" i="2" a="1"/>
  <c r="E229" i="2" a="1"/>
  <c r="E116" i="2" a="1"/>
  <c r="E230" i="2" a="1"/>
  <c r="E140" i="2" a="1"/>
  <c r="E138" i="2" a="1"/>
  <c r="E208" i="2" a="1"/>
  <c r="E104" i="2" a="1"/>
  <c r="E228" i="2" a="1"/>
  <c r="E215" i="2" a="1"/>
  <c r="E176" i="2" a="1"/>
  <c r="E182" i="2" a="1"/>
  <c r="E181" i="2" a="1"/>
  <c r="E155" i="2" a="1"/>
  <c r="E129" i="2" a="1"/>
  <c r="E209" i="2" a="1"/>
  <c r="E216" i="2" a="1"/>
  <c r="E202" i="2" a="1"/>
  <c r="E180" i="2" a="1"/>
  <c r="E195" i="2" a="1"/>
  <c r="E126" i="2" a="1"/>
  <c r="E217" i="2" a="1"/>
  <c r="E192" i="2" a="1"/>
  <c r="E124" i="2" a="1"/>
  <c r="E111" i="2" a="1"/>
  <c r="E219" i="2" a="1"/>
  <c r="E206" i="2" a="1"/>
  <c r="E204" i="2" a="1"/>
  <c r="E193" i="2" a="1"/>
  <c r="E150" i="2" a="1"/>
  <c r="E207" i="2" a="1"/>
  <c r="E205" i="2" a="1"/>
  <c r="E154" i="2" a="1"/>
  <c r="E117" i="2" a="1"/>
  <c r="E194" i="2" a="1"/>
  <c r="E123" i="2" a="1"/>
  <c r="E112" i="2" a="1"/>
  <c r="E137" i="2" a="1"/>
  <c r="E210" i="2" a="1"/>
  <c r="E142" i="2" a="1"/>
  <c r="E103" i="2" a="1"/>
  <c r="E231" i="2" a="1"/>
  <c r="E139" i="2" a="1"/>
  <c r="E221" i="2" a="1"/>
  <c r="E189" i="2" a="1"/>
  <c r="E136" i="2" a="1"/>
  <c r="E218" i="2" a="1"/>
  <c r="E127" i="2" a="1"/>
  <c r="E99" i="2" a="1"/>
  <c r="E190" i="2" a="1"/>
  <c r="I328" i="1" l="1"/>
  <c r="G22" i="3"/>
  <c r="G21" i="3"/>
  <c r="G20" i="3"/>
  <c r="J24" i="3"/>
  <c r="I330" i="1"/>
  <c r="B319" i="1" s="1"/>
  <c r="J23" i="3"/>
  <c r="J25" i="3"/>
  <c r="C270" i="1"/>
  <c r="H24" i="3"/>
  <c r="K24" i="3" s="1"/>
  <c r="H25" i="3"/>
  <c r="K25" i="3" s="1"/>
  <c r="H23" i="3"/>
  <c r="K23" i="3" s="1"/>
  <c r="I283" i="1"/>
  <c r="H330" i="1"/>
  <c r="D344" i="1" s="1"/>
  <c r="E344" i="1" s="1"/>
  <c r="I282" i="1"/>
  <c r="E220" i="2"/>
  <c r="E234" i="2"/>
  <c r="E221" i="2"/>
  <c r="E228" i="2"/>
  <c r="E131" i="2"/>
  <c r="E215" i="2"/>
  <c r="E229" i="2"/>
  <c r="E216" i="2"/>
  <c r="E230" i="2"/>
  <c r="E217" i="2"/>
  <c r="E231" i="2"/>
  <c r="E218" i="2"/>
  <c r="E232" i="2"/>
  <c r="E219" i="2"/>
  <c r="E233" i="2"/>
  <c r="E210" i="2"/>
  <c r="E209" i="2"/>
  <c r="E208" i="2"/>
  <c r="E207" i="2"/>
  <c r="E206" i="2"/>
  <c r="E205" i="2"/>
  <c r="E204" i="2"/>
  <c r="E203" i="2"/>
  <c r="E202" i="2"/>
  <c r="E195" i="2"/>
  <c r="E194" i="2"/>
  <c r="E193" i="2"/>
  <c r="E192" i="2"/>
  <c r="E191" i="2"/>
  <c r="E190" i="2"/>
  <c r="E189" i="2"/>
  <c r="E182" i="2"/>
  <c r="E180" i="2"/>
  <c r="E181" i="2"/>
  <c r="E179" i="2"/>
  <c r="E178" i="2"/>
  <c r="E177" i="2"/>
  <c r="E176" i="2"/>
  <c r="E155" i="2"/>
  <c r="E117" i="2"/>
  <c r="E98" i="2"/>
  <c r="E142" i="2"/>
  <c r="E111" i="2"/>
  <c r="E100" i="2"/>
  <c r="E136" i="2"/>
  <c r="E151" i="2"/>
  <c r="E129" i="2"/>
  <c r="E130" i="2"/>
  <c r="E123" i="2"/>
  <c r="E112" i="2"/>
  <c r="E124" i="2"/>
  <c r="E125" i="2"/>
  <c r="E137" i="2"/>
  <c r="E126" i="2"/>
  <c r="E138" i="2"/>
  <c r="E152" i="2"/>
  <c r="E141" i="2"/>
  <c r="E99" i="2"/>
  <c r="E150" i="2"/>
  <c r="E113" i="2"/>
  <c r="E103" i="2"/>
  <c r="E127" i="2"/>
  <c r="E139" i="2"/>
  <c r="E153" i="2"/>
  <c r="E104" i="2"/>
  <c r="E116" i="2"/>
  <c r="E128" i="2"/>
  <c r="E140" i="2"/>
  <c r="E154" i="2"/>
  <c r="D309" i="1"/>
  <c r="D306" i="1"/>
  <c r="D292" i="1"/>
  <c r="E292" i="1" s="1"/>
  <c r="D307" i="1"/>
  <c r="D308" i="1"/>
  <c r="B271" i="1"/>
  <c r="D293" i="1"/>
  <c r="E293" i="1" s="1"/>
  <c r="D294" i="1"/>
  <c r="E294" i="1" s="1"/>
  <c r="D295" i="1"/>
  <c r="E295" i="1" s="1"/>
  <c r="D296" i="1"/>
  <c r="E296" i="1" s="1"/>
  <c r="D298" i="1"/>
  <c r="D299" i="1"/>
  <c r="D300" i="1"/>
  <c r="D301" i="1"/>
  <c r="D302" i="1"/>
  <c r="D303" i="1"/>
  <c r="D297" i="1"/>
  <c r="C321" i="2"/>
  <c r="C322" i="2"/>
  <c r="C323" i="2"/>
  <c r="C324" i="2"/>
  <c r="C320" i="2"/>
  <c r="B325" i="2"/>
  <c r="B204" i="1"/>
  <c r="B205" i="1"/>
  <c r="B206" i="1"/>
  <c r="B207" i="1"/>
  <c r="B208" i="1"/>
  <c r="B209" i="1"/>
  <c r="K192" i="1"/>
  <c r="K193" i="1"/>
  <c r="K194" i="1"/>
  <c r="K191" i="1"/>
  <c r="B247" i="1"/>
  <c r="B248" i="1"/>
  <c r="B249" i="1"/>
  <c r="B250" i="1"/>
  <c r="B251" i="1"/>
  <c r="B252" i="1"/>
  <c r="B253" i="1"/>
  <c r="B254" i="1"/>
  <c r="B246" i="1"/>
  <c r="K235" i="1"/>
  <c r="K236" i="1"/>
  <c r="K237" i="1"/>
  <c r="K234" i="1"/>
  <c r="F235" i="1"/>
  <c r="F236" i="1"/>
  <c r="F237" i="1"/>
  <c r="F234" i="1"/>
  <c r="D235" i="1"/>
  <c r="D236" i="1"/>
  <c r="D237" i="1"/>
  <c r="D234" i="1"/>
  <c r="B160" i="1"/>
  <c r="B161" i="1"/>
  <c r="B162" i="1"/>
  <c r="B163" i="1"/>
  <c r="B164" i="1"/>
  <c r="B165" i="1"/>
  <c r="B166" i="1"/>
  <c r="K149" i="1"/>
  <c r="K150" i="1"/>
  <c r="K151" i="1"/>
  <c r="K148" i="1"/>
  <c r="K107" i="1"/>
  <c r="K108" i="1"/>
  <c r="K109" i="1"/>
  <c r="K106" i="1"/>
  <c r="F192" i="1"/>
  <c r="F193" i="1"/>
  <c r="F194" i="1"/>
  <c r="F191" i="1"/>
  <c r="D192" i="1"/>
  <c r="D193" i="1"/>
  <c r="D194" i="1"/>
  <c r="D191" i="1"/>
  <c r="B118" i="1"/>
  <c r="B119" i="1"/>
  <c r="B120" i="1"/>
  <c r="B121" i="1"/>
  <c r="B122" i="1"/>
  <c r="B123" i="1"/>
  <c r="D340" i="1" l="1"/>
  <c r="E340" i="1" s="1"/>
  <c r="D353" i="1"/>
  <c r="B353" i="1" s="1"/>
  <c r="A353" i="1" s="1"/>
  <c r="D347" i="1"/>
  <c r="E347" i="1" s="1"/>
  <c r="D339" i="1"/>
  <c r="E339" i="1" s="1"/>
  <c r="D343" i="1"/>
  <c r="E343" i="1" s="1"/>
  <c r="D352" i="1"/>
  <c r="B352" i="1" s="1"/>
  <c r="A352" i="1" s="1"/>
  <c r="D346" i="1"/>
  <c r="E346" i="1" s="1"/>
  <c r="D342" i="1"/>
  <c r="E342" i="1" s="1"/>
  <c r="D351" i="1"/>
  <c r="B351" i="1" s="1"/>
  <c r="A351" i="1" s="1"/>
  <c r="D338" i="1"/>
  <c r="E338" i="1" s="1"/>
  <c r="D345" i="1"/>
  <c r="E345" i="1" s="1"/>
  <c r="D341" i="1"/>
  <c r="E341" i="1" s="1"/>
  <c r="I281" i="1"/>
  <c r="I284" i="1" s="1"/>
  <c r="B272" i="1" s="1"/>
  <c r="H21" i="3"/>
  <c r="K21" i="3" s="1"/>
  <c r="H20" i="3"/>
  <c r="K20" i="3" s="1"/>
  <c r="H22" i="3"/>
  <c r="K22" i="3" s="1"/>
  <c r="J20" i="3"/>
  <c r="D354" i="1"/>
  <c r="B354" i="1" s="1"/>
  <c r="A354" i="1" s="1"/>
  <c r="B318" i="1"/>
  <c r="J21" i="3"/>
  <c r="D348" i="1"/>
  <c r="E348" i="1" s="1"/>
  <c r="J22" i="3"/>
  <c r="G237" i="1"/>
  <c r="L237" i="1" s="1"/>
  <c r="G191" i="1"/>
  <c r="D195" i="1"/>
  <c r="G194" i="1"/>
  <c r="L194" i="1" s="1"/>
  <c r="G193" i="1"/>
  <c r="L193" i="1" s="1"/>
  <c r="G192" i="1"/>
  <c r="L192" i="1" s="1"/>
  <c r="G234" i="1"/>
  <c r="L234" i="1" s="1"/>
  <c r="D238" i="1"/>
  <c r="G236" i="1"/>
  <c r="H236" i="1" s="1"/>
  <c r="G235" i="1"/>
  <c r="H235" i="1" s="1"/>
  <c r="C325" i="2"/>
  <c r="H192" i="1"/>
  <c r="H194" i="1"/>
  <c r="H193" i="1"/>
  <c r="J5" i="2" l="1"/>
  <c r="J241" i="2"/>
  <c r="L241" i="2" s="1"/>
  <c r="J294" i="2"/>
  <c r="L294" i="2" s="1"/>
  <c r="J310" i="2"/>
  <c r="L310" i="2" s="1"/>
  <c r="J297" i="2"/>
  <c r="L297" i="2" s="1"/>
  <c r="J314" i="2"/>
  <c r="L314" i="2" s="1"/>
  <c r="J302" i="2"/>
  <c r="L302" i="2" s="1"/>
  <c r="J296" i="2"/>
  <c r="L296" i="2" s="1"/>
  <c r="J308" i="2"/>
  <c r="L308" i="2" s="1"/>
  <c r="J309" i="2"/>
  <c r="L309" i="2" s="1"/>
  <c r="J312" i="2"/>
  <c r="L312" i="2" s="1"/>
  <c r="J313" i="2"/>
  <c r="L313" i="2" s="1"/>
  <c r="J295" i="2"/>
  <c r="L295" i="2" s="1"/>
  <c r="J299" i="2"/>
  <c r="L299" i="2" s="1"/>
  <c r="J293" i="2"/>
  <c r="L293" i="2" s="1"/>
  <c r="J298" i="2"/>
  <c r="L298" i="2" s="1"/>
  <c r="J301" i="2"/>
  <c r="L301" i="2" s="1"/>
  <c r="J300" i="2"/>
  <c r="L300" i="2" s="1"/>
  <c r="J307" i="2"/>
  <c r="L307" i="2" s="1"/>
  <c r="J311" i="2"/>
  <c r="L311" i="2" s="1"/>
  <c r="J315" i="2"/>
  <c r="L315" i="2" s="1"/>
  <c r="J306" i="2"/>
  <c r="L306" i="2" s="1"/>
  <c r="H237" i="1"/>
  <c r="L236" i="1"/>
  <c r="G195" i="1"/>
  <c r="G196" i="1" s="1"/>
  <c r="C178" i="1" s="1"/>
  <c r="L191" i="1"/>
  <c r="H191" i="1"/>
  <c r="G238" i="1"/>
  <c r="G239" i="1" s="1"/>
  <c r="C221" i="1" s="1"/>
  <c r="H234" i="1"/>
  <c r="L235" i="1"/>
  <c r="J289" i="2"/>
  <c r="L289" i="2" s="1"/>
  <c r="J255" i="2"/>
  <c r="L255" i="2" s="1"/>
  <c r="J260" i="2"/>
  <c r="L260" i="2" s="1"/>
  <c r="J269" i="2"/>
  <c r="L269" i="2" s="1"/>
  <c r="J274" i="2"/>
  <c r="L274" i="2" s="1"/>
  <c r="J259" i="2"/>
  <c r="L259" i="2" s="1"/>
  <c r="J268" i="2"/>
  <c r="L268" i="2" s="1"/>
  <c r="J273" i="2"/>
  <c r="L273" i="2" s="1"/>
  <c r="J282" i="2"/>
  <c r="L282" i="2" s="1"/>
  <c r="J267" i="2"/>
  <c r="L267" i="2" s="1"/>
  <c r="J272" i="2"/>
  <c r="L272" i="2" s="1"/>
  <c r="J281" i="2"/>
  <c r="L281" i="2" s="1"/>
  <c r="J286" i="2"/>
  <c r="L286" i="2" s="1"/>
  <c r="J271" i="2"/>
  <c r="L271" i="2" s="1"/>
  <c r="J280" i="2"/>
  <c r="L280" i="2" s="1"/>
  <c r="J285" i="2"/>
  <c r="L285" i="2" s="1"/>
  <c r="J284" i="2"/>
  <c r="L284" i="2" s="1"/>
  <c r="J254" i="2"/>
  <c r="L254" i="2" s="1"/>
  <c r="J283" i="2"/>
  <c r="L283" i="2" s="1"/>
  <c r="J288" i="2"/>
  <c r="L288" i="2" s="1"/>
  <c r="J258" i="2"/>
  <c r="L258" i="2" s="1"/>
  <c r="J287" i="2"/>
  <c r="L287" i="2" s="1"/>
  <c r="J257" i="2"/>
  <c r="L257" i="2" s="1"/>
  <c r="J262" i="2"/>
  <c r="L262" i="2" s="1"/>
  <c r="J256" i="2"/>
  <c r="L256" i="2" s="1"/>
  <c r="J270" i="2"/>
  <c r="L270" i="2" s="1"/>
  <c r="J275" i="2"/>
  <c r="L275" i="2" s="1"/>
  <c r="J261" i="2"/>
  <c r="L261" i="2" s="1"/>
  <c r="J242" i="2"/>
  <c r="L242" i="2" s="1"/>
  <c r="J249" i="2"/>
  <c r="L249" i="2" s="1"/>
  <c r="J246" i="2"/>
  <c r="L246" i="2" s="1"/>
  <c r="J247" i="2"/>
  <c r="L247" i="2" s="1"/>
  <c r="J245" i="2"/>
  <c r="L245" i="2" s="1"/>
  <c r="J243" i="2"/>
  <c r="L243" i="2" s="1"/>
  <c r="J244" i="2"/>
  <c r="L244" i="2" s="1"/>
  <c r="J248" i="2"/>
  <c r="L248" i="2" s="1"/>
  <c r="J235" i="2"/>
  <c r="L235" i="2" s="1"/>
  <c r="J224" i="2"/>
  <c r="L224" i="2" s="1"/>
  <c r="J236" i="2"/>
  <c r="L236" i="2" s="1"/>
  <c r="J223" i="2"/>
  <c r="L223" i="2" s="1"/>
  <c r="J238" i="2"/>
  <c r="L238" i="2" s="1"/>
  <c r="J212" i="2"/>
  <c r="L212" i="2" s="1"/>
  <c r="J222" i="2"/>
  <c r="L222" i="2" s="1"/>
  <c r="J225" i="2"/>
  <c r="L225" i="2" s="1"/>
  <c r="J237" i="2"/>
  <c r="L237" i="2" s="1"/>
  <c r="J211" i="2"/>
  <c r="L211" i="2" s="1"/>
  <c r="L238" i="1"/>
  <c r="B229" i="1" s="1"/>
  <c r="B230" i="1" s="1"/>
  <c r="J78" i="2"/>
  <c r="L78" i="2" s="1"/>
  <c r="J72" i="2"/>
  <c r="L72" i="2" s="1"/>
  <c r="J76" i="2"/>
  <c r="L76" i="2" s="1"/>
  <c r="J74" i="2"/>
  <c r="L74" i="2" s="1"/>
  <c r="J144" i="2"/>
  <c r="L144" i="2" s="1"/>
  <c r="J73" i="2"/>
  <c r="L73" i="2" s="1"/>
  <c r="J77" i="2"/>
  <c r="L77" i="2" s="1"/>
  <c r="J75" i="2"/>
  <c r="L75" i="2" s="1"/>
  <c r="J156" i="2"/>
  <c r="L156" i="2" s="1"/>
  <c r="J157" i="2"/>
  <c r="L157" i="2" s="1"/>
  <c r="J143" i="2"/>
  <c r="L143" i="2" s="1"/>
  <c r="J99" i="2"/>
  <c r="L99" i="2" s="1"/>
  <c r="J103" i="2"/>
  <c r="L103" i="2" s="1"/>
  <c r="J100" i="2"/>
  <c r="L100" i="2" s="1"/>
  <c r="J98" i="2"/>
  <c r="L98" i="2" s="1"/>
  <c r="J104" i="2"/>
  <c r="L104" i="2" s="1"/>
  <c r="J102" i="2"/>
  <c r="J96" i="2"/>
  <c r="L96" i="2" s="1"/>
  <c r="J84" i="2"/>
  <c r="L84" i="2" s="1"/>
  <c r="J88" i="2"/>
  <c r="J90" i="2"/>
  <c r="L90" i="2" s="1"/>
  <c r="J101" i="2"/>
  <c r="J86" i="2"/>
  <c r="L86" i="2" s="1"/>
  <c r="J85" i="2"/>
  <c r="L85" i="2" s="1"/>
  <c r="J91" i="2"/>
  <c r="L91" i="2" s="1"/>
  <c r="J89" i="2"/>
  <c r="J97" i="2"/>
  <c r="J83" i="2"/>
  <c r="L83" i="2" s="1"/>
  <c r="J87" i="2"/>
  <c r="L87" i="2" s="1"/>
  <c r="J61" i="2"/>
  <c r="L61" i="2" s="1"/>
  <c r="J69" i="2"/>
  <c r="L69" i="2" s="1"/>
  <c r="J59" i="2"/>
  <c r="L59" i="2" s="1"/>
  <c r="J70" i="2"/>
  <c r="L70" i="2" s="1"/>
  <c r="J64" i="2"/>
  <c r="L64" i="2" s="1"/>
  <c r="J63" i="2"/>
  <c r="L63" i="2" s="1"/>
  <c r="J56" i="2"/>
  <c r="L56" i="2" s="1"/>
  <c r="J62" i="2"/>
  <c r="L62" i="2" s="1"/>
  <c r="J65" i="2"/>
  <c r="L65" i="2" s="1"/>
  <c r="J60" i="2"/>
  <c r="L60" i="2" s="1"/>
  <c r="J57" i="2"/>
  <c r="L57" i="2" s="1"/>
  <c r="J44" i="2"/>
  <c r="L44" i="2" s="1"/>
  <c r="J50" i="2"/>
  <c r="L50" i="2" s="1"/>
  <c r="J49" i="2"/>
  <c r="L49" i="2" s="1"/>
  <c r="J48" i="2"/>
  <c r="L48" i="2" s="1"/>
  <c r="J43" i="2"/>
  <c r="L43" i="2" s="1"/>
  <c r="J46" i="2"/>
  <c r="L46" i="2" s="1"/>
  <c r="J51" i="2"/>
  <c r="L51" i="2" s="1"/>
  <c r="J52" i="2"/>
  <c r="L52" i="2" s="1"/>
  <c r="J126" i="2"/>
  <c r="L126" i="2" s="1"/>
  <c r="J150" i="2"/>
  <c r="L150" i="2" s="1"/>
  <c r="J204" i="2"/>
  <c r="L204" i="2" s="1"/>
  <c r="J131" i="2"/>
  <c r="L131" i="2" s="1"/>
  <c r="J216" i="2"/>
  <c r="L216" i="2" s="1"/>
  <c r="J148" i="2"/>
  <c r="L148" i="2" s="1"/>
  <c r="J139" i="2"/>
  <c r="L139" i="2" s="1"/>
  <c r="J142" i="2"/>
  <c r="L142" i="2" s="1"/>
  <c r="J152" i="2"/>
  <c r="L152" i="2" s="1"/>
  <c r="J217" i="2"/>
  <c r="L217" i="2" s="1"/>
  <c r="J114" i="2"/>
  <c r="J177" i="2"/>
  <c r="L177" i="2" s="1"/>
  <c r="J123" i="2"/>
  <c r="L123" i="2" s="1"/>
  <c r="J202" i="2"/>
  <c r="L202" i="2" s="1"/>
  <c r="J111" i="2"/>
  <c r="L111" i="2" s="1"/>
  <c r="J164" i="2"/>
  <c r="L164" i="2" s="1"/>
  <c r="J116" i="2"/>
  <c r="L116" i="2" s="1"/>
  <c r="J128" i="2"/>
  <c r="L128" i="2" s="1"/>
  <c r="J210" i="2"/>
  <c r="L210" i="2" s="1"/>
  <c r="J163" i="2"/>
  <c r="L163" i="2" s="1"/>
  <c r="J137" i="2"/>
  <c r="L137" i="2" s="1"/>
  <c r="J154" i="2"/>
  <c r="L154" i="2" s="1"/>
  <c r="J208" i="2"/>
  <c r="L208" i="2" s="1"/>
  <c r="J151" i="2"/>
  <c r="L151" i="2" s="1"/>
  <c r="J220" i="2"/>
  <c r="L220" i="2" s="1"/>
  <c r="J162" i="2"/>
  <c r="L162" i="2" s="1"/>
  <c r="J168" i="2"/>
  <c r="L168" i="2" s="1"/>
  <c r="J180" i="2"/>
  <c r="L180" i="2" s="1"/>
  <c r="J221" i="2"/>
  <c r="L221" i="2" s="1"/>
  <c r="J188" i="2"/>
  <c r="L188" i="2" s="1"/>
  <c r="J181" i="2"/>
  <c r="L181" i="2" s="1"/>
  <c r="J182" i="2"/>
  <c r="L182" i="2" s="1"/>
  <c r="J135" i="2"/>
  <c r="L135" i="2" s="1"/>
  <c r="J203" i="2"/>
  <c r="L203" i="2" s="1"/>
  <c r="J117" i="2"/>
  <c r="L117" i="2" s="1"/>
  <c r="J122" i="2"/>
  <c r="L122" i="2" s="1"/>
  <c r="J193" i="2"/>
  <c r="L193" i="2" s="1"/>
  <c r="J205" i="2"/>
  <c r="L205" i="2" s="1"/>
  <c r="J206" i="2"/>
  <c r="L206" i="2" s="1"/>
  <c r="J153" i="2"/>
  <c r="L153" i="2" s="1"/>
  <c r="J209" i="2"/>
  <c r="L209" i="2" s="1"/>
  <c r="J127" i="2"/>
  <c r="L127" i="2" s="1"/>
  <c r="J166" i="2"/>
  <c r="L166" i="2" s="1"/>
  <c r="J130" i="2"/>
  <c r="L130" i="2" s="1"/>
  <c r="J167" i="2"/>
  <c r="L167" i="2" s="1"/>
  <c r="J175" i="2"/>
  <c r="L175" i="2" s="1"/>
  <c r="J215" i="2"/>
  <c r="L215" i="2" s="1"/>
  <c r="J179" i="2"/>
  <c r="L179" i="2" s="1"/>
  <c r="J229" i="2"/>
  <c r="L229" i="2" s="1"/>
  <c r="J165" i="2"/>
  <c r="L165" i="2" s="1"/>
  <c r="J230" i="2"/>
  <c r="L230" i="2" s="1"/>
  <c r="J125" i="2"/>
  <c r="L125" i="2" s="1"/>
  <c r="J214" i="2"/>
  <c r="L214" i="2" s="1"/>
  <c r="J192" i="2"/>
  <c r="L192" i="2" s="1"/>
  <c r="J112" i="2"/>
  <c r="L112" i="2" s="1"/>
  <c r="J190" i="2"/>
  <c r="L190" i="2" s="1"/>
  <c r="J113" i="2"/>
  <c r="L113" i="2" s="1"/>
  <c r="J195" i="2"/>
  <c r="L195" i="2" s="1"/>
  <c r="J136" i="2"/>
  <c r="L136" i="2" s="1"/>
  <c r="J189" i="2"/>
  <c r="L189" i="2" s="1"/>
  <c r="J194" i="2"/>
  <c r="L194" i="2" s="1"/>
  <c r="J138" i="2"/>
  <c r="L138" i="2" s="1"/>
  <c r="J140" i="2"/>
  <c r="L140" i="2" s="1"/>
  <c r="J141" i="2"/>
  <c r="L141" i="2" s="1"/>
  <c r="J178" i="2"/>
  <c r="L178" i="2" s="1"/>
  <c r="J219" i="2"/>
  <c r="L219" i="2" s="1"/>
  <c r="J233" i="2"/>
  <c r="L233" i="2" s="1"/>
  <c r="J169" i="2"/>
  <c r="L169" i="2" s="1"/>
  <c r="J191" i="2"/>
  <c r="L191" i="2" s="1"/>
  <c r="J234" i="2"/>
  <c r="L234" i="2" s="1"/>
  <c r="J129" i="2"/>
  <c r="L129" i="2" s="1"/>
  <c r="J227" i="2"/>
  <c r="L227" i="2" s="1"/>
  <c r="J228" i="2"/>
  <c r="L228" i="2" s="1"/>
  <c r="J176" i="2"/>
  <c r="L176" i="2" s="1"/>
  <c r="J232" i="2"/>
  <c r="L232" i="2" s="1"/>
  <c r="J155" i="2"/>
  <c r="L155" i="2" s="1"/>
  <c r="J207" i="2"/>
  <c r="L207" i="2" s="1"/>
  <c r="J201" i="2"/>
  <c r="L201" i="2" s="1"/>
  <c r="J124" i="2"/>
  <c r="L124" i="2" s="1"/>
  <c r="J218" i="2"/>
  <c r="L218" i="2" s="1"/>
  <c r="J115" i="2"/>
  <c r="J109" i="2"/>
  <c r="L109" i="2" s="1"/>
  <c r="J110" i="2"/>
  <c r="J231" i="2"/>
  <c r="L231" i="2" s="1"/>
  <c r="H195" i="1"/>
  <c r="L195" i="1"/>
  <c r="N298" i="2" a="1"/>
  <c r="N246" i="2" a="1"/>
  <c r="N248" i="2" a="1"/>
  <c r="N283" i="2" a="1"/>
  <c r="N139" i="2" a="1"/>
  <c r="N309" i="2" a="1"/>
  <c r="N178" i="2" a="1"/>
  <c r="N269" i="2" a="1"/>
  <c r="N100" i="2" a="1"/>
  <c r="N190" i="2" a="1"/>
  <c r="N220" i="2" a="1"/>
  <c r="N282" i="2" a="1"/>
  <c r="N260" i="2" a="1"/>
  <c r="N48" i="2" a="1"/>
  <c r="N65" i="2" a="1"/>
  <c r="N249" i="2" a="1"/>
  <c r="N112" i="2" a="1"/>
  <c r="N300" i="2" a="1"/>
  <c r="N52" i="2" a="1"/>
  <c r="N44" i="2" a="1"/>
  <c r="N49" i="2" a="1"/>
  <c r="N127" i="2" a="1"/>
  <c r="N231" i="2" a="1"/>
  <c r="N289" i="2" a="1"/>
  <c r="N163" i="2" a="1"/>
  <c r="N295" i="2" a="1"/>
  <c r="N117" i="2" a="1"/>
  <c r="N77" i="2" a="1"/>
  <c r="N232" i="2" a="1"/>
  <c r="N191" i="2" a="1"/>
  <c r="N208" i="2" a="1"/>
  <c r="N201" i="2" a="1"/>
  <c r="N143" i="2" a="1"/>
  <c r="N192" i="2" a="1"/>
  <c r="N310" i="2" a="1"/>
  <c r="N217" i="2" a="1"/>
  <c r="N87" i="2" a="1"/>
  <c r="N242" i="2" a="1"/>
  <c r="N207" i="2" a="1"/>
  <c r="N238" i="2" a="1"/>
  <c r="N128" i="2" a="1"/>
  <c r="N272" i="2" a="1"/>
  <c r="N59" i="2" a="1"/>
  <c r="N104" i="2" a="1"/>
  <c r="N142" i="2" a="1"/>
  <c r="N91" i="2" a="1"/>
  <c r="N212" i="2" a="1"/>
  <c r="N43" i="2" a="1"/>
  <c r="N275" i="2" a="1"/>
  <c r="N135" i="2" a="1"/>
  <c r="N287" i="2" a="1"/>
  <c r="N176" i="2" a="1"/>
  <c r="N297" i="2" a="1"/>
  <c r="N98" i="2" a="1"/>
  <c r="N157" i="2" a="1"/>
  <c r="N46" i="2" a="1"/>
  <c r="N205" i="2" a="1"/>
  <c r="N299" i="2" a="1"/>
  <c r="N286" i="2" a="1"/>
  <c r="N62" i="2" a="1"/>
  <c r="N267" i="2" a="1"/>
  <c r="N237" i="2" a="1"/>
  <c r="N75" i="2" a="1"/>
  <c r="N124" i="2" a="1"/>
  <c r="N162" i="2" a="1"/>
  <c r="N280" i="2" a="1"/>
  <c r="N214" i="2" a="1"/>
  <c r="N255" i="2" a="1"/>
  <c r="N241" i="2" a="1"/>
  <c r="N51" i="2" a="1"/>
  <c r="N138" i="2" a="1"/>
  <c r="N209" i="2" a="1"/>
  <c r="N193" i="2" a="1"/>
  <c r="N111" i="2" a="1"/>
  <c r="N215" i="2" a="1"/>
  <c r="N258" i="2" a="1"/>
  <c r="N210" i="2" a="1"/>
  <c r="N103" i="2" a="1"/>
  <c r="N125" i="2" a="1"/>
  <c r="N177" i="2" a="1"/>
  <c r="N221" i="2" a="1"/>
  <c r="N301" i="2" a="1"/>
  <c r="N314" i="2" a="1"/>
  <c r="N219" i="2" a="1"/>
  <c r="N216" i="2" a="1"/>
  <c r="N165" i="2" a="1"/>
  <c r="N126" i="2" a="1"/>
  <c r="N228" i="2" a="1"/>
  <c r="N61" i="2" a="1"/>
  <c r="N230" i="2" a="1"/>
  <c r="N175" i="2" a="1"/>
  <c r="N270" i="2" a="1"/>
  <c r="N73" i="2" a="1"/>
  <c r="N63" i="2" a="1"/>
  <c r="N99" i="2" a="1"/>
  <c r="N130" i="2" a="1"/>
  <c r="N315" i="2" a="1"/>
  <c r="N56" i="2" a="1"/>
  <c r="N206" i="2" a="1"/>
  <c r="N70" i="2" a="1"/>
  <c r="N223" i="2" a="1"/>
  <c r="N285" i="2" a="1"/>
  <c r="N271" i="2" a="1"/>
  <c r="N116" i="2" a="1"/>
  <c r="N50" i="2" a="1"/>
  <c r="N90" i="2" a="1"/>
  <c r="N144" i="2" a="1"/>
  <c r="N204" i="2" a="1"/>
  <c r="N168" i="2" a="1"/>
  <c r="N245" i="2" a="1"/>
  <c r="N78" i="2" a="1"/>
  <c r="N236" i="2" a="1"/>
  <c r="N247" i="2" a="1"/>
  <c r="N312" i="2" a="1"/>
  <c r="N136" i="2" a="1"/>
  <c r="N233" i="2" a="1"/>
  <c r="N123" i="2" a="1"/>
  <c r="N296" i="2" a="1"/>
  <c r="N85" i="2" a="1"/>
  <c r="N131" i="2" a="1"/>
  <c r="N235" i="2" a="1"/>
  <c r="N259" i="2" a="1"/>
  <c r="N153" i="2" a="1"/>
  <c r="N74" i="2" a="1"/>
  <c r="N194" i="2" a="1"/>
  <c r="N311" i="2" a="1"/>
  <c r="N261" i="2" a="1"/>
  <c r="N202" i="2" a="1"/>
  <c r="N306" i="2" a="1"/>
  <c r="N256" i="2" a="1"/>
  <c r="N109" i="2" a="1"/>
  <c r="N188" i="2" a="1"/>
  <c r="N156" i="2" a="1"/>
  <c r="N257" i="2" a="1"/>
  <c r="N64" i="2" a="1"/>
  <c r="N155" i="2" a="1"/>
  <c r="N169" i="2" a="1"/>
  <c r="N113" i="2" a="1"/>
  <c r="N140" i="2" a="1"/>
  <c r="N225" i="2" a="1"/>
  <c r="N268" i="2" a="1"/>
  <c r="N281" i="2" a="1"/>
  <c r="N182" i="2" a="1"/>
  <c r="N151" i="2" a="1"/>
  <c r="N243" i="2" a="1"/>
  <c r="N284" i="2" a="1"/>
  <c r="N234" i="2" a="1"/>
  <c r="N137" i="2" a="1"/>
  <c r="N222" i="2" a="1"/>
  <c r="N164" i="2" a="1"/>
  <c r="N167" i="2" a="1"/>
  <c r="N83" i="2" a="1"/>
  <c r="N122" i="2" a="1"/>
  <c r="N180" i="2" a="1"/>
  <c r="N227" i="2" a="1"/>
  <c r="N302" i="2" a="1"/>
  <c r="N86" i="2" a="1"/>
  <c r="N60" i="2" a="1"/>
  <c r="N84" i="2" a="1"/>
  <c r="N254" i="2" a="1"/>
  <c r="N218" i="2" a="1"/>
  <c r="N308" i="2" a="1"/>
  <c r="N288" i="2" a="1"/>
  <c r="N229" i="2" a="1"/>
  <c r="N179" i="2" a="1"/>
  <c r="N262" i="2" a="1"/>
  <c r="N273" i="2" a="1"/>
  <c r="N76" i="2" a="1"/>
  <c r="N166" i="2" a="1"/>
  <c r="N211" i="2" a="1"/>
  <c r="N72" i="2" a="1"/>
  <c r="N195" i="2" a="1"/>
  <c r="N294" i="2" a="1"/>
  <c r="N96" i="2" a="1"/>
  <c r="N313" i="2" a="1"/>
  <c r="N57" i="2" a="1"/>
  <c r="N69" i="2" a="1"/>
  <c r="N129" i="2" a="1"/>
  <c r="N293" i="2" a="1"/>
  <c r="N307" i="2" a="1"/>
  <c r="N150" i="2" a="1"/>
  <c r="N244" i="2" a="1"/>
  <c r="N203" i="2" a="1"/>
  <c r="N274" i="2" a="1"/>
  <c r="N152" i="2" a="1"/>
  <c r="N181" i="2" a="1"/>
  <c r="N148" i="2" a="1"/>
  <c r="N141" i="2" a="1"/>
  <c r="N224" i="2" a="1"/>
  <c r="N189" i="2" a="1"/>
  <c r="N154" i="2" a="1"/>
  <c r="N144" i="2" l="1"/>
  <c r="N309" i="2"/>
  <c r="N293" i="2"/>
  <c r="N302" i="2"/>
  <c r="N306" i="2"/>
  <c r="N299" i="2"/>
  <c r="N314" i="2"/>
  <c r="N298" i="2"/>
  <c r="N301" i="2"/>
  <c r="N295" i="2"/>
  <c r="N311" i="2"/>
  <c r="N313" i="2"/>
  <c r="N310" i="2"/>
  <c r="N300" i="2"/>
  <c r="N308" i="2"/>
  <c r="N296" i="2"/>
  <c r="N315" i="2"/>
  <c r="N297" i="2"/>
  <c r="N307" i="2"/>
  <c r="N312" i="2"/>
  <c r="N294" i="2"/>
  <c r="M293" i="2"/>
  <c r="M306" i="2"/>
  <c r="G15" i="3"/>
  <c r="G16" i="3"/>
  <c r="G14" i="3"/>
  <c r="C223" i="1"/>
  <c r="I235" i="1" s="1"/>
  <c r="G18" i="3"/>
  <c r="G17" i="3"/>
  <c r="G19" i="3"/>
  <c r="C180" i="1"/>
  <c r="I194" i="1" s="1"/>
  <c r="H238" i="1"/>
  <c r="B224" i="1" s="1"/>
  <c r="N262" i="2"/>
  <c r="N285" i="2"/>
  <c r="N273" i="2"/>
  <c r="N257" i="2"/>
  <c r="N280" i="2"/>
  <c r="N268" i="2"/>
  <c r="N287" i="2"/>
  <c r="N271" i="2"/>
  <c r="N259" i="2"/>
  <c r="N258" i="2"/>
  <c r="N286" i="2"/>
  <c r="N274" i="2"/>
  <c r="N261" i="2"/>
  <c r="N288" i="2"/>
  <c r="N281" i="2"/>
  <c r="N269" i="2"/>
  <c r="N275" i="2"/>
  <c r="N283" i="2"/>
  <c r="N272" i="2"/>
  <c r="N260" i="2"/>
  <c r="N270" i="2"/>
  <c r="N254" i="2"/>
  <c r="N267" i="2"/>
  <c r="N255" i="2"/>
  <c r="N256" i="2"/>
  <c r="N284" i="2"/>
  <c r="N282" i="2"/>
  <c r="N289" i="2"/>
  <c r="M280" i="2"/>
  <c r="M254" i="2"/>
  <c r="M267" i="2"/>
  <c r="N76" i="2"/>
  <c r="N209" i="2"/>
  <c r="N150" i="2"/>
  <c r="N141" i="2"/>
  <c r="N182" i="2"/>
  <c r="N143" i="2"/>
  <c r="N129" i="2"/>
  <c r="N181" i="2"/>
  <c r="N142" i="2"/>
  <c r="N96" i="2"/>
  <c r="N138" i="2"/>
  <c r="N188" i="2"/>
  <c r="N139" i="2"/>
  <c r="N70" i="2"/>
  <c r="N91" i="2"/>
  <c r="N156" i="2"/>
  <c r="N78" i="2"/>
  <c r="N245" i="2"/>
  <c r="N113" i="2"/>
  <c r="N74" i="2"/>
  <c r="N153" i="2"/>
  <c r="N116" i="2"/>
  <c r="N63" i="2"/>
  <c r="N241" i="2"/>
  <c r="N140" i="2"/>
  <c r="N164" i="2"/>
  <c r="N157" i="2"/>
  <c r="N205" i="2"/>
  <c r="N154" i="2"/>
  <c r="N207" i="2"/>
  <c r="N193" i="2"/>
  <c r="N137" i="2"/>
  <c r="N202" i="2"/>
  <c r="N148" i="2"/>
  <c r="N57" i="2"/>
  <c r="N59" i="2"/>
  <c r="N85" i="2"/>
  <c r="N104" i="2"/>
  <c r="N75" i="2"/>
  <c r="N247" i="2"/>
  <c r="N178" i="2"/>
  <c r="N135" i="2"/>
  <c r="N56" i="2"/>
  <c r="N99" i="2"/>
  <c r="N179" i="2"/>
  <c r="N152" i="2"/>
  <c r="N84" i="2"/>
  <c r="N212" i="2"/>
  <c r="N206" i="2"/>
  <c r="N243" i="2"/>
  <c r="N175" i="2"/>
  <c r="N111" i="2"/>
  <c r="N191" i="2"/>
  <c r="N194" i="2"/>
  <c r="N167" i="2"/>
  <c r="N155" i="2"/>
  <c r="N169" i="2"/>
  <c r="N189" i="2"/>
  <c r="N125" i="2"/>
  <c r="N130" i="2"/>
  <c r="N122" i="2"/>
  <c r="N180" i="2"/>
  <c r="N163" i="2"/>
  <c r="N123" i="2"/>
  <c r="N60" i="2"/>
  <c r="N69" i="2"/>
  <c r="N86" i="2"/>
  <c r="N98" i="2"/>
  <c r="N77" i="2"/>
  <c r="N211" i="2"/>
  <c r="N246" i="2"/>
  <c r="N117" i="2"/>
  <c r="N210" i="2"/>
  <c r="N73" i="2"/>
  <c r="N83" i="2"/>
  <c r="N244" i="2"/>
  <c r="N190" i="2"/>
  <c r="N151" i="2"/>
  <c r="N126" i="2"/>
  <c r="N124" i="2"/>
  <c r="N112" i="2"/>
  <c r="N208" i="2"/>
  <c r="N64" i="2"/>
  <c r="N72" i="2"/>
  <c r="N201" i="2"/>
  <c r="N192" i="2"/>
  <c r="N136" i="2"/>
  <c r="N166" i="2"/>
  <c r="N168" i="2"/>
  <c r="N177" i="2"/>
  <c r="N131" i="2"/>
  <c r="N65" i="2"/>
  <c r="N61" i="2"/>
  <c r="N100" i="2"/>
  <c r="N249" i="2"/>
  <c r="N109" i="2"/>
  <c r="N176" i="2"/>
  <c r="N195" i="2"/>
  <c r="N165" i="2"/>
  <c r="N127" i="2"/>
  <c r="N203" i="2"/>
  <c r="N162" i="2"/>
  <c r="N128" i="2"/>
  <c r="N204" i="2"/>
  <c r="N62" i="2"/>
  <c r="N87" i="2"/>
  <c r="N90" i="2"/>
  <c r="N103" i="2"/>
  <c r="N248" i="2"/>
  <c r="N242" i="2"/>
  <c r="M241" i="2"/>
  <c r="N235" i="2"/>
  <c r="N238" i="2"/>
  <c r="N237" i="2"/>
  <c r="N236" i="2"/>
  <c r="N228" i="2"/>
  <c r="N232" i="2"/>
  <c r="N229" i="2"/>
  <c r="N233" i="2"/>
  <c r="N234" i="2"/>
  <c r="N231" i="2"/>
  <c r="N230" i="2"/>
  <c r="N227" i="2"/>
  <c r="N215" i="2"/>
  <c r="N219" i="2"/>
  <c r="N223" i="2"/>
  <c r="N222" i="2"/>
  <c r="N216" i="2"/>
  <c r="N220" i="2"/>
  <c r="N224" i="2"/>
  <c r="N221" i="2"/>
  <c r="N218" i="2"/>
  <c r="N225" i="2"/>
  <c r="N217" i="2"/>
  <c r="N214" i="2"/>
  <c r="M227" i="2"/>
  <c r="M162" i="2"/>
  <c r="M96" i="2"/>
  <c r="M109" i="2"/>
  <c r="M175" i="2"/>
  <c r="M214" i="2"/>
  <c r="M135" i="2"/>
  <c r="M188" i="2"/>
  <c r="M122" i="2"/>
  <c r="M201" i="2"/>
  <c r="M148" i="2"/>
  <c r="N46" i="2"/>
  <c r="M69" i="2"/>
  <c r="M83" i="2"/>
  <c r="M56" i="2"/>
  <c r="N48" i="2"/>
  <c r="N44" i="2"/>
  <c r="N52" i="2"/>
  <c r="N51" i="2"/>
  <c r="N43" i="2"/>
  <c r="N50" i="2"/>
  <c r="N49" i="2"/>
  <c r="M43" i="2"/>
  <c r="E302" i="1"/>
  <c r="E301" i="1"/>
  <c r="E297" i="1"/>
  <c r="E300" i="1"/>
  <c r="E303" i="1"/>
  <c r="E299" i="1"/>
  <c r="E298" i="1"/>
  <c r="B186" i="1"/>
  <c r="B181" i="1"/>
  <c r="D204" i="1"/>
  <c r="E204" i="1" s="1"/>
  <c r="D206" i="1"/>
  <c r="E206" i="1" s="1"/>
  <c r="D203" i="1"/>
  <c r="E203" i="1" s="1"/>
  <c r="D205" i="1"/>
  <c r="E205" i="1" s="1"/>
  <c r="D207" i="1"/>
  <c r="E207" i="1" s="1"/>
  <c r="D208" i="1"/>
  <c r="E208" i="1" s="1"/>
  <c r="D209" i="1"/>
  <c r="E209" i="1" s="1"/>
  <c r="T306" i="2" l="1" a="1"/>
  <c r="T306" i="2" s="1"/>
  <c r="O306" i="2" a="1"/>
  <c r="O306" i="2" s="1"/>
  <c r="S306" i="2" s="1"/>
  <c r="Q306" i="2" a="1"/>
  <c r="Q306" i="2" s="1"/>
  <c r="O293" i="2" a="1"/>
  <c r="O293" i="2" s="1"/>
  <c r="S293" i="2" s="1"/>
  <c r="Q293" i="2" a="1"/>
  <c r="Q293" i="2" s="1"/>
  <c r="T293" i="2" a="1"/>
  <c r="T293" i="2" s="1"/>
  <c r="T175" i="2" a="1"/>
  <c r="T175" i="2" s="1"/>
  <c r="J19" i="3"/>
  <c r="J17" i="3"/>
  <c r="J18" i="3"/>
  <c r="H18" i="3"/>
  <c r="K18" i="3" s="1"/>
  <c r="H17" i="3"/>
  <c r="K17" i="3" s="1"/>
  <c r="H19" i="3"/>
  <c r="K19" i="3" s="1"/>
  <c r="I236" i="1"/>
  <c r="I237" i="1"/>
  <c r="J14" i="3"/>
  <c r="J16" i="3"/>
  <c r="J15" i="3"/>
  <c r="I192" i="1"/>
  <c r="H16" i="3"/>
  <c r="K16" i="3" s="1"/>
  <c r="H14" i="3"/>
  <c r="K14" i="3" s="1"/>
  <c r="H15" i="3"/>
  <c r="K15" i="3" s="1"/>
  <c r="I234" i="1"/>
  <c r="D254" i="1"/>
  <c r="D252" i="1"/>
  <c r="I191" i="1"/>
  <c r="D251" i="1"/>
  <c r="I193" i="1"/>
  <c r="D253" i="1"/>
  <c r="D249" i="1"/>
  <c r="D250" i="1"/>
  <c r="D248" i="1"/>
  <c r="D247" i="1"/>
  <c r="E247" i="1" s="1"/>
  <c r="D246" i="1"/>
  <c r="E246" i="1" s="1"/>
  <c r="T267" i="2" a="1"/>
  <c r="T267" i="2" s="1"/>
  <c r="O267" i="2" a="1"/>
  <c r="O267" i="2" s="1"/>
  <c r="S267" i="2" s="1"/>
  <c r="Q267" i="2" a="1"/>
  <c r="Q267" i="2" s="1"/>
  <c r="Q254" i="2" a="1"/>
  <c r="Q254" i="2" s="1"/>
  <c r="O254" i="2" a="1"/>
  <c r="O254" i="2" s="1"/>
  <c r="S254" i="2" s="1"/>
  <c r="T254" i="2" a="1"/>
  <c r="T254" i="2" s="1"/>
  <c r="T280" i="2" a="1"/>
  <c r="T280" i="2" s="1"/>
  <c r="Q280" i="2" a="1"/>
  <c r="Q280" i="2" s="1"/>
  <c r="O280" i="2" a="1"/>
  <c r="O280" i="2" s="1"/>
  <c r="S280" i="2" s="1"/>
  <c r="T56" i="2" a="1"/>
  <c r="T56" i="2" s="1"/>
  <c r="L6" i="4" s="1"/>
  <c r="O6" i="4" s="1"/>
  <c r="R6" i="4" s="1"/>
  <c r="O56" i="2" a="1"/>
  <c r="O56" i="2" s="1"/>
  <c r="S56" i="2" s="1"/>
  <c r="Q56" i="2" a="1"/>
  <c r="Q56" i="2" s="1"/>
  <c r="T109" i="2" a="1"/>
  <c r="T109" i="2" s="1"/>
  <c r="L10" i="4" s="1"/>
  <c r="Q109" i="2" a="1"/>
  <c r="Q109" i="2" s="1"/>
  <c r="O109" i="2" a="1"/>
  <c r="O109" i="2" s="1"/>
  <c r="S109" i="2" s="1"/>
  <c r="T69" i="2" a="1"/>
  <c r="T69" i="2" s="1"/>
  <c r="L7" i="4" s="1"/>
  <c r="O7" i="4" s="1"/>
  <c r="R7" i="4" s="1"/>
  <c r="Q69" i="2" a="1"/>
  <c r="Q69" i="2" s="1"/>
  <c r="O69" i="2" a="1"/>
  <c r="O69" i="2" s="1"/>
  <c r="S69" i="2" s="1"/>
  <c r="O135" i="2" a="1"/>
  <c r="O135" i="2" s="1"/>
  <c r="S135" i="2" s="1"/>
  <c r="T135" i="2" a="1"/>
  <c r="T135" i="2" s="1"/>
  <c r="Q135" i="2" a="1"/>
  <c r="Q135" i="2" s="1"/>
  <c r="Q148" i="2" a="1"/>
  <c r="Q148" i="2" s="1"/>
  <c r="T148" i="2" a="1"/>
  <c r="T148" i="2" s="1"/>
  <c r="O148" i="2" a="1"/>
  <c r="O148" i="2" s="1"/>
  <c r="S148" i="2" s="1"/>
  <c r="Q122" i="2" a="1"/>
  <c r="Q122" i="2" s="1"/>
  <c r="T122" i="2" a="1"/>
  <c r="T122" i="2" s="1"/>
  <c r="L11" i="4" s="1"/>
  <c r="O11" i="4" s="1"/>
  <c r="R11" i="4" s="1"/>
  <c r="O122" i="2" a="1"/>
  <c r="O122" i="2" s="1"/>
  <c r="S122" i="2" s="1"/>
  <c r="T83" i="2" a="1"/>
  <c r="T83" i="2" s="1"/>
  <c r="L8" i="4" s="1"/>
  <c r="O8" i="4" s="1"/>
  <c r="R8" i="4" s="1"/>
  <c r="Q83" i="2" a="1"/>
  <c r="Q83" i="2" s="1"/>
  <c r="O83" i="2" a="1"/>
  <c r="O83" i="2" s="1"/>
  <c r="S83" i="2" s="1"/>
  <c r="O175" i="2" a="1"/>
  <c r="O175" i="2" s="1"/>
  <c r="S175" i="2" s="1"/>
  <c r="Q175" i="2" a="1"/>
  <c r="Q175" i="2" s="1"/>
  <c r="Q188" i="2" a="1"/>
  <c r="Q188" i="2" s="1"/>
  <c r="O188" i="2" a="1"/>
  <c r="O188" i="2" s="1"/>
  <c r="S188" i="2" s="1"/>
  <c r="T188" i="2" a="1"/>
  <c r="T188" i="2" s="1"/>
  <c r="T96" i="2" a="1"/>
  <c r="T96" i="2" s="1"/>
  <c r="L9" i="4" s="1"/>
  <c r="O9" i="4" s="1"/>
  <c r="R9" i="4" s="1"/>
  <c r="Q96" i="2" a="1"/>
  <c r="Q96" i="2" s="1"/>
  <c r="O96" i="2" a="1"/>
  <c r="O96" i="2" s="1"/>
  <c r="S96" i="2" s="1"/>
  <c r="Q162" i="2" a="1"/>
  <c r="Q162" i="2" s="1"/>
  <c r="O162" i="2" a="1"/>
  <c r="O162" i="2" s="1"/>
  <c r="S162" i="2" s="1"/>
  <c r="T162" i="2" a="1"/>
  <c r="T162" i="2" s="1"/>
  <c r="T241" i="2" a="1"/>
  <c r="T241" i="2" s="1"/>
  <c r="O241" i="2" a="1"/>
  <c r="O241" i="2" s="1"/>
  <c r="S241" i="2" s="1"/>
  <c r="Q241" i="2" a="1"/>
  <c r="Q241" i="2" s="1"/>
  <c r="T201" i="2" a="1"/>
  <c r="T201" i="2" s="1"/>
  <c r="L17" i="4" s="1"/>
  <c r="Q201" i="2" a="1"/>
  <c r="Q201" i="2" s="1"/>
  <c r="O201" i="2" a="1"/>
  <c r="O201" i="2" s="1"/>
  <c r="S201" i="2" s="1"/>
  <c r="T48" i="2" a="1"/>
  <c r="T48" i="2" s="1"/>
  <c r="T227" i="2" a="1"/>
  <c r="T227" i="2" s="1"/>
  <c r="O227" i="2" a="1"/>
  <c r="O227" i="2" s="1"/>
  <c r="S227" i="2" s="1"/>
  <c r="Q227" i="2" a="1"/>
  <c r="Q227" i="2" s="1"/>
  <c r="T214" i="2" a="1"/>
  <c r="T214" i="2" s="1"/>
  <c r="Q214" i="2" a="1"/>
  <c r="Q214" i="2" s="1"/>
  <c r="O214" i="2" a="1"/>
  <c r="O214" i="2" s="1"/>
  <c r="S214" i="2" s="1"/>
  <c r="T43" i="2" a="1"/>
  <c r="T43" i="2" s="1"/>
  <c r="L5" i="4" s="1"/>
  <c r="O5" i="4" s="1"/>
  <c r="R5" i="4" s="1"/>
  <c r="Q43" i="2" a="1"/>
  <c r="Q43" i="2" s="1"/>
  <c r="O43" i="2" a="1"/>
  <c r="O43" i="2" s="1"/>
  <c r="S43" i="2" s="1"/>
  <c r="F151" i="1"/>
  <c r="D151" i="1"/>
  <c r="F150" i="1"/>
  <c r="D150" i="1"/>
  <c r="F149" i="1"/>
  <c r="D149" i="1"/>
  <c r="F148" i="1"/>
  <c r="D148" i="1"/>
  <c r="O10" i="4" l="1"/>
  <c r="R10" i="4" s="1"/>
  <c r="W306" i="2"/>
  <c r="L25" i="4"/>
  <c r="O25" i="4" s="1"/>
  <c r="R25" i="4" s="1"/>
  <c r="W293" i="2"/>
  <c r="L24" i="4"/>
  <c r="O24" i="4" s="1"/>
  <c r="R24" i="4" s="1"/>
  <c r="W280" i="2"/>
  <c r="L23" i="4"/>
  <c r="O23" i="4" s="1"/>
  <c r="R23" i="4" s="1"/>
  <c r="W267" i="2"/>
  <c r="L22" i="4"/>
  <c r="O22" i="4" s="1"/>
  <c r="R22" i="4" s="1"/>
  <c r="W254" i="2"/>
  <c r="L21" i="4"/>
  <c r="O21" i="4" s="1"/>
  <c r="R21" i="4" s="1"/>
  <c r="W241" i="2"/>
  <c r="L20" i="4"/>
  <c r="O20" i="4" s="1"/>
  <c r="R20" i="4" s="1"/>
  <c r="W227" i="2"/>
  <c r="L19" i="4"/>
  <c r="O19" i="4" s="1"/>
  <c r="R19" i="4" s="1"/>
  <c r="W214" i="2"/>
  <c r="L18" i="4"/>
  <c r="O18" i="4" s="1"/>
  <c r="R18" i="4" s="1"/>
  <c r="W201" i="2"/>
  <c r="O17" i="4"/>
  <c r="R17" i="4" s="1"/>
  <c r="W188" i="2"/>
  <c r="L16" i="4"/>
  <c r="O16" i="4" s="1"/>
  <c r="R16" i="4" s="1"/>
  <c r="W175" i="2"/>
  <c r="L15" i="4"/>
  <c r="O15" i="4" s="1"/>
  <c r="R15" i="4" s="1"/>
  <c r="W162" i="2"/>
  <c r="L14" i="4"/>
  <c r="O14" i="4" s="1"/>
  <c r="R14" i="4" s="1"/>
  <c r="W148" i="2"/>
  <c r="L13" i="4"/>
  <c r="O13" i="4" s="1"/>
  <c r="R13" i="4" s="1"/>
  <c r="W135" i="2"/>
  <c r="L12" i="4"/>
  <c r="O12" i="4" s="1"/>
  <c r="R12" i="4" s="1"/>
  <c r="V96" i="2"/>
  <c r="V254" i="2"/>
  <c r="V241" i="2"/>
  <c r="V122" i="2"/>
  <c r="V135" i="2"/>
  <c r="V83" i="2"/>
  <c r="V188" i="2"/>
  <c r="V69" i="2"/>
  <c r="V267" i="2"/>
  <c r="V214" i="2"/>
  <c r="V43" i="2"/>
  <c r="V280" i="2"/>
  <c r="V227" i="2"/>
  <c r="V162" i="2"/>
  <c r="V148" i="2"/>
  <c r="V201" i="2"/>
  <c r="V175" i="2"/>
  <c r="V109" i="2"/>
  <c r="K25" i="4"/>
  <c r="V306" i="2"/>
  <c r="K24" i="4"/>
  <c r="V293" i="2"/>
  <c r="K14" i="4"/>
  <c r="K6" i="4"/>
  <c r="V56" i="2"/>
  <c r="I238" i="1"/>
  <c r="B225" i="1" s="1"/>
  <c r="G151" i="1"/>
  <c r="L151" i="1" s="1"/>
  <c r="I195" i="1"/>
  <c r="B182" i="1" s="1"/>
  <c r="G149" i="1"/>
  <c r="L149" i="1" s="1"/>
  <c r="G150" i="1"/>
  <c r="L150" i="1" s="1"/>
  <c r="G148" i="1"/>
  <c r="H148" i="1" s="1"/>
  <c r="D152" i="1"/>
  <c r="K9" i="4"/>
  <c r="K15" i="4"/>
  <c r="K10" i="4"/>
  <c r="K21" i="4"/>
  <c r="K13" i="4"/>
  <c r="K20" i="4"/>
  <c r="K8" i="4"/>
  <c r="K19" i="4"/>
  <c r="K16" i="4"/>
  <c r="K11" i="4"/>
  <c r="K12" i="4"/>
  <c r="K17" i="4"/>
  <c r="K5" i="4"/>
  <c r="K7" i="4"/>
  <c r="K22" i="4"/>
  <c r="K18" i="4"/>
  <c r="K23" i="4"/>
  <c r="N12" i="4" l="1"/>
  <c r="N15" i="4"/>
  <c r="N23" i="4"/>
  <c r="N17" i="4"/>
  <c r="N25" i="4"/>
  <c r="N11" i="4"/>
  <c r="N18" i="4"/>
  <c r="N14" i="4"/>
  <c r="N9" i="4"/>
  <c r="N19" i="4"/>
  <c r="N6" i="4"/>
  <c r="N22" i="4"/>
  <c r="N20" i="4"/>
  <c r="N21" i="4"/>
  <c r="N10" i="4"/>
  <c r="N16" i="4"/>
  <c r="N8" i="4"/>
  <c r="N7" i="4"/>
  <c r="N5" i="4"/>
  <c r="N13" i="4"/>
  <c r="N24" i="4"/>
  <c r="H151" i="1"/>
  <c r="H149" i="1"/>
  <c r="H150" i="1"/>
  <c r="G152" i="1"/>
  <c r="G153" i="1" s="1"/>
  <c r="C135" i="1" s="1"/>
  <c r="L148" i="1"/>
  <c r="L152" i="1" s="1"/>
  <c r="B143" i="1" s="1"/>
  <c r="B144" i="1" s="1"/>
  <c r="X22" i="4" l="1"/>
  <c r="Q18" i="4"/>
  <c r="V18" i="4"/>
  <c r="Q16" i="4"/>
  <c r="V16" i="4"/>
  <c r="Q21" i="4"/>
  <c r="V21" i="4"/>
  <c r="Q11" i="4"/>
  <c r="Q24" i="4"/>
  <c r="V24" i="4"/>
  <c r="Q20" i="4"/>
  <c r="V20" i="4"/>
  <c r="Q25" i="4"/>
  <c r="V25" i="4"/>
  <c r="Q13" i="4"/>
  <c r="Q22" i="4"/>
  <c r="V22" i="4"/>
  <c r="Q17" i="4"/>
  <c r="V17" i="4"/>
  <c r="Q5" i="4"/>
  <c r="Q6" i="4"/>
  <c r="Q23" i="4"/>
  <c r="V23" i="4"/>
  <c r="Q7" i="4"/>
  <c r="Q19" i="4"/>
  <c r="V19" i="4"/>
  <c r="Q15" i="4"/>
  <c r="V15" i="4"/>
  <c r="Q14" i="4"/>
  <c r="V14" i="4"/>
  <c r="Q10" i="4"/>
  <c r="Q8" i="4"/>
  <c r="Q9" i="4"/>
  <c r="Q12" i="4"/>
  <c r="X25" i="4"/>
  <c r="H152" i="1"/>
  <c r="D166" i="1" s="1"/>
  <c r="C137" i="1"/>
  <c r="I151" i="1" s="1"/>
  <c r="E12" i="4"/>
  <c r="E11" i="4"/>
  <c r="E13" i="4"/>
  <c r="G12" i="3"/>
  <c r="G13" i="3"/>
  <c r="G11" i="3"/>
  <c r="W122" i="2"/>
  <c r="I149" i="1"/>
  <c r="E254" i="1"/>
  <c r="E250" i="1"/>
  <c r="E253" i="1"/>
  <c r="E249" i="1"/>
  <c r="E252" i="1"/>
  <c r="E248" i="1"/>
  <c r="E251" i="1"/>
  <c r="D163" i="1"/>
  <c r="D164" i="1"/>
  <c r="D165" i="1"/>
  <c r="W19" i="4" l="1"/>
  <c r="X17" i="4" s="1"/>
  <c r="W16" i="4"/>
  <c r="X14" i="4" s="1"/>
  <c r="H11" i="4"/>
  <c r="H13" i="4"/>
  <c r="H12" i="4"/>
  <c r="D162" i="1"/>
  <c r="B138" i="1"/>
  <c r="D160" i="1"/>
  <c r="I150" i="1"/>
  <c r="D161" i="1"/>
  <c r="I148" i="1"/>
  <c r="J13" i="3"/>
  <c r="J12" i="3"/>
  <c r="J11" i="3"/>
  <c r="F12" i="4"/>
  <c r="I12" i="4" s="1"/>
  <c r="F13" i="4"/>
  <c r="I13" i="4" s="1"/>
  <c r="F11" i="4"/>
  <c r="I11" i="4" s="1"/>
  <c r="H11" i="3"/>
  <c r="K11" i="3" s="1"/>
  <c r="H13" i="3"/>
  <c r="K13" i="3" s="1"/>
  <c r="H12" i="3"/>
  <c r="K12" i="3" s="1"/>
  <c r="I152" i="1"/>
  <c r="B139" i="1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1" i="2"/>
  <c r="L31" i="2" s="1"/>
  <c r="J30" i="2"/>
  <c r="L30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8" i="2"/>
  <c r="L18" i="2" s="1"/>
  <c r="J17" i="2"/>
  <c r="L17" i="2" s="1"/>
  <c r="N26" i="2" a="1"/>
  <c r="N25" i="2" a="1"/>
  <c r="N31" i="2" a="1"/>
  <c r="N18" i="2" a="1"/>
  <c r="N21" i="2" a="1"/>
  <c r="N34" i="2" a="1"/>
  <c r="N36" i="2" a="1"/>
  <c r="N23" i="2" a="1"/>
  <c r="N39" i="2" a="1"/>
  <c r="N30" i="2" a="1"/>
  <c r="N24" i="2" a="1"/>
  <c r="N38" i="2" a="1"/>
  <c r="N33" i="2" a="1"/>
  <c r="N37" i="2" a="1"/>
  <c r="N35" i="2" a="1"/>
  <c r="N17" i="2" a="1"/>
  <c r="N22" i="2" a="1"/>
  <c r="N20" i="2" a="1"/>
  <c r="U12" i="4" l="1"/>
  <c r="V12" i="4" s="1"/>
  <c r="U13" i="4"/>
  <c r="V13" i="4" s="1"/>
  <c r="U11" i="4"/>
  <c r="V11" i="4" s="1"/>
  <c r="N17" i="2"/>
  <c r="N26" i="2"/>
  <c r="N37" i="2"/>
  <c r="N18" i="2"/>
  <c r="N30" i="2"/>
  <c r="N38" i="2"/>
  <c r="N20" i="2"/>
  <c r="N21" i="2"/>
  <c r="N22" i="2"/>
  <c r="N33" i="2"/>
  <c r="N23" i="2"/>
  <c r="N34" i="2"/>
  <c r="N24" i="2"/>
  <c r="N35" i="2"/>
  <c r="N25" i="2"/>
  <c r="N36" i="2"/>
  <c r="N31" i="2"/>
  <c r="N39" i="2"/>
  <c r="M30" i="2"/>
  <c r="M17" i="2"/>
  <c r="L5" i="2"/>
  <c r="J6" i="2"/>
  <c r="L6" i="2" s="1"/>
  <c r="J7" i="2"/>
  <c r="L7" i="2" s="1"/>
  <c r="J8" i="2"/>
  <c r="L8" i="2" s="1"/>
  <c r="J9" i="2"/>
  <c r="L9" i="2" s="1"/>
  <c r="J10" i="2"/>
  <c r="L10" i="2" s="1"/>
  <c r="J11" i="2"/>
  <c r="L11" i="2" s="1"/>
  <c r="J12" i="2"/>
  <c r="L12" i="2" s="1"/>
  <c r="J13" i="2"/>
  <c r="L13" i="2" s="1"/>
  <c r="J4" i="2"/>
  <c r="L4" i="2" s="1"/>
  <c r="K20" i="1"/>
  <c r="F18" i="1"/>
  <c r="F19" i="1"/>
  <c r="F20" i="1"/>
  <c r="D18" i="1"/>
  <c r="D19" i="1"/>
  <c r="D20" i="1"/>
  <c r="F109" i="1"/>
  <c r="D109" i="1"/>
  <c r="F108" i="1"/>
  <c r="D108" i="1"/>
  <c r="F107" i="1"/>
  <c r="D107" i="1"/>
  <c r="F106" i="1"/>
  <c r="D106" i="1"/>
  <c r="N4" i="2" a="1"/>
  <c r="N12" i="2" a="1"/>
  <c r="N7" i="2" a="1"/>
  <c r="N13" i="2" a="1"/>
  <c r="N6" i="2" a="1"/>
  <c r="N10" i="2" a="1"/>
  <c r="N8" i="2" a="1"/>
  <c r="N11" i="2" a="1"/>
  <c r="N5" i="2" a="1"/>
  <c r="N9" i="2" a="1"/>
  <c r="W13" i="4" l="1"/>
  <c r="X11" i="4" s="1"/>
  <c r="O17" i="2" a="1"/>
  <c r="O17" i="2" s="1"/>
  <c r="S17" i="2" s="1"/>
  <c r="G107" i="1"/>
  <c r="L107" i="1" s="1"/>
  <c r="D110" i="1"/>
  <c r="G106" i="1"/>
  <c r="G109" i="1"/>
  <c r="L109" i="1" s="1"/>
  <c r="G108" i="1"/>
  <c r="L108" i="1" s="1"/>
  <c r="G20" i="1"/>
  <c r="L20" i="1" s="1"/>
  <c r="G19" i="1"/>
  <c r="H19" i="1" s="1"/>
  <c r="I19" i="1" s="1"/>
  <c r="G18" i="1"/>
  <c r="N4" i="2"/>
  <c r="T30" i="2" a="1"/>
  <c r="T30" i="2" s="1"/>
  <c r="L4" i="4" s="1"/>
  <c r="O4" i="4" s="1"/>
  <c r="R4" i="4" s="1"/>
  <c r="Q30" i="2" a="1"/>
  <c r="Q30" i="2" s="1"/>
  <c r="O30" i="2" a="1"/>
  <c r="O30" i="2" s="1"/>
  <c r="S30" i="2" s="1"/>
  <c r="Q17" i="2" a="1"/>
  <c r="Q17" i="2" s="1"/>
  <c r="T17" i="2" a="1"/>
  <c r="T17" i="2" s="1"/>
  <c r="L3" i="4" s="1"/>
  <c r="O3" i="4" s="1"/>
  <c r="R3" i="4" s="1"/>
  <c r="N7" i="2"/>
  <c r="N6" i="2"/>
  <c r="N12" i="2"/>
  <c r="N8" i="2"/>
  <c r="N13" i="2"/>
  <c r="N5" i="2"/>
  <c r="N11" i="2"/>
  <c r="N10" i="2"/>
  <c r="N9" i="2"/>
  <c r="M4" i="2"/>
  <c r="H109" i="1"/>
  <c r="H108" i="1"/>
  <c r="H107" i="1"/>
  <c r="V30" i="2" l="1"/>
  <c r="V17" i="2"/>
  <c r="T4" i="2" a="1"/>
  <c r="T4" i="2" s="1"/>
  <c r="L2" i="4" s="1"/>
  <c r="O2" i="4" s="1"/>
  <c r="R2" i="4" s="1"/>
  <c r="H106" i="1"/>
  <c r="H110" i="1" s="1"/>
  <c r="G110" i="1"/>
  <c r="G111" i="1" s="1"/>
  <c r="C93" i="1" s="1"/>
  <c r="L106" i="1"/>
  <c r="L110" i="1" s="1"/>
  <c r="B101" i="1" s="1"/>
  <c r="B102" i="1" s="1"/>
  <c r="H20" i="1"/>
  <c r="I20" i="1" s="1"/>
  <c r="H18" i="1"/>
  <c r="I18" i="1" s="1"/>
  <c r="K3" i="4"/>
  <c r="K4" i="4"/>
  <c r="Q4" i="2" a="1"/>
  <c r="Q4" i="2" s="1"/>
  <c r="O4" i="2" a="1"/>
  <c r="O4" i="2" s="1"/>
  <c r="S4" i="2" s="1"/>
  <c r="K64" i="1"/>
  <c r="K65" i="1"/>
  <c r="K66" i="1"/>
  <c r="N4" i="4" l="1"/>
  <c r="N3" i="4"/>
  <c r="V4" i="2"/>
  <c r="C95" i="1"/>
  <c r="I108" i="1" s="1"/>
  <c r="E10" i="4"/>
  <c r="E8" i="4"/>
  <c r="E9" i="4"/>
  <c r="G9" i="3"/>
  <c r="G10" i="3"/>
  <c r="G8" i="3"/>
  <c r="K2" i="4"/>
  <c r="W83" i="2"/>
  <c r="W109" i="2"/>
  <c r="W96" i="2"/>
  <c r="B309" i="1"/>
  <c r="A309" i="1" s="1"/>
  <c r="B308" i="1"/>
  <c r="A308" i="1" s="1"/>
  <c r="B307" i="1"/>
  <c r="A307" i="1" s="1"/>
  <c r="B306" i="1"/>
  <c r="A306" i="1" s="1"/>
  <c r="D212" i="1"/>
  <c r="A212" i="1" s="1"/>
  <c r="D213" i="1"/>
  <c r="B213" i="1" s="1"/>
  <c r="A213" i="1" s="1"/>
  <c r="D215" i="1"/>
  <c r="B215" i="1" s="1"/>
  <c r="A215" i="1" s="1"/>
  <c r="B96" i="1"/>
  <c r="D214" i="1"/>
  <c r="B214" i="1" s="1"/>
  <c r="A214" i="1" s="1"/>
  <c r="D260" i="1"/>
  <c r="B260" i="1" s="1"/>
  <c r="A260" i="1" s="1"/>
  <c r="D257" i="1"/>
  <c r="B257" i="1" s="1"/>
  <c r="A257" i="1" s="1"/>
  <c r="D259" i="1"/>
  <c r="B259" i="1" s="1"/>
  <c r="A259" i="1" s="1"/>
  <c r="D258" i="1"/>
  <c r="B258" i="1" s="1"/>
  <c r="A258" i="1" s="1"/>
  <c r="D170" i="1"/>
  <c r="B170" i="1" s="1"/>
  <c r="A170" i="1" s="1"/>
  <c r="D171" i="1"/>
  <c r="B171" i="1" s="1"/>
  <c r="A171" i="1" s="1"/>
  <c r="E160" i="1"/>
  <c r="D169" i="1"/>
  <c r="B169" i="1" s="1"/>
  <c r="A169" i="1" s="1"/>
  <c r="E163" i="1"/>
  <c r="E165" i="1"/>
  <c r="E164" i="1"/>
  <c r="E166" i="1"/>
  <c r="E161" i="1"/>
  <c r="D172" i="1"/>
  <c r="B172" i="1" s="1"/>
  <c r="A172" i="1" s="1"/>
  <c r="E162" i="1"/>
  <c r="D127" i="1"/>
  <c r="D122" i="1"/>
  <c r="D123" i="1"/>
  <c r="D128" i="1"/>
  <c r="D129" i="1"/>
  <c r="D121" i="1"/>
  <c r="D126" i="1"/>
  <c r="D118" i="1"/>
  <c r="D119" i="1"/>
  <c r="D120" i="1"/>
  <c r="B81" i="1"/>
  <c r="B79" i="1"/>
  <c r="B76" i="1"/>
  <c r="B77" i="1"/>
  <c r="B78" i="1"/>
  <c r="B80" i="1"/>
  <c r="B75" i="1"/>
  <c r="F64" i="1"/>
  <c r="F65" i="1"/>
  <c r="F66" i="1"/>
  <c r="D64" i="1"/>
  <c r="D65" i="1"/>
  <c r="D66" i="1"/>
  <c r="K63" i="1"/>
  <c r="F63" i="1"/>
  <c r="D63" i="1"/>
  <c r="Q3" i="4" l="1"/>
  <c r="Q4" i="4"/>
  <c r="N2" i="4"/>
  <c r="H9" i="4"/>
  <c r="H10" i="4"/>
  <c r="H8" i="4"/>
  <c r="I109" i="1"/>
  <c r="J8" i="3"/>
  <c r="F10" i="4"/>
  <c r="I10" i="4" s="1"/>
  <c r="F8" i="4"/>
  <c r="I8" i="4" s="1"/>
  <c r="F9" i="4"/>
  <c r="I9" i="4" s="1"/>
  <c r="H9" i="3"/>
  <c r="K9" i="3" s="1"/>
  <c r="H8" i="3"/>
  <c r="K8" i="3" s="1"/>
  <c r="H10" i="3"/>
  <c r="K10" i="3" s="1"/>
  <c r="J10" i="3"/>
  <c r="J9" i="3"/>
  <c r="I107" i="1"/>
  <c r="I106" i="1"/>
  <c r="G65" i="1"/>
  <c r="L65" i="1" s="1"/>
  <c r="G64" i="1"/>
  <c r="L64" i="1" s="1"/>
  <c r="D67" i="1"/>
  <c r="G66" i="1"/>
  <c r="L66" i="1" s="1"/>
  <c r="G63" i="1"/>
  <c r="H65" i="1"/>
  <c r="H66" i="1"/>
  <c r="H64" i="1"/>
  <c r="U9" i="4" l="1"/>
  <c r="V9" i="4" s="1"/>
  <c r="U8" i="4"/>
  <c r="V8" i="4" s="1"/>
  <c r="U10" i="4"/>
  <c r="V10" i="4" s="1"/>
  <c r="Q2" i="4"/>
  <c r="I110" i="1"/>
  <c r="B97" i="1" s="1"/>
  <c r="L63" i="1"/>
  <c r="L67" i="1" s="1"/>
  <c r="B58" i="1" s="1"/>
  <c r="B59" i="1" s="1"/>
  <c r="W43" i="2" s="1"/>
  <c r="G67" i="1"/>
  <c r="G68" i="1" s="1"/>
  <c r="C50" i="1" s="1"/>
  <c r="H63" i="1"/>
  <c r="B39" i="1"/>
  <c r="B38" i="1"/>
  <c r="W10" i="4" l="1"/>
  <c r="X8" i="4" s="1"/>
  <c r="C52" i="1"/>
  <c r="I65" i="1" s="1"/>
  <c r="E5" i="4"/>
  <c r="E6" i="4"/>
  <c r="E7" i="4"/>
  <c r="G7" i="3"/>
  <c r="G5" i="3"/>
  <c r="G6" i="3"/>
  <c r="W69" i="2"/>
  <c r="W56" i="2"/>
  <c r="I63" i="1"/>
  <c r="I64" i="1"/>
  <c r="H67" i="1"/>
  <c r="B53" i="1" s="1"/>
  <c r="B37" i="1"/>
  <c r="B35" i="1"/>
  <c r="B34" i="1"/>
  <c r="B31" i="1"/>
  <c r="B30" i="1"/>
  <c r="B29" i="1"/>
  <c r="H7" i="4" l="1"/>
  <c r="H5" i="4"/>
  <c r="H6" i="4"/>
  <c r="I66" i="1"/>
  <c r="J6" i="3"/>
  <c r="J5" i="3"/>
  <c r="J7" i="3"/>
  <c r="K7" i="3"/>
  <c r="F5" i="4"/>
  <c r="I5" i="4" s="1"/>
  <c r="F6" i="4"/>
  <c r="I6" i="4" s="1"/>
  <c r="F7" i="4"/>
  <c r="I7" i="4" s="1"/>
  <c r="H6" i="3"/>
  <c r="K6" i="3" s="1"/>
  <c r="H7" i="3"/>
  <c r="H5" i="3"/>
  <c r="K5" i="3" s="1"/>
  <c r="D75" i="1"/>
  <c r="D81" i="1"/>
  <c r="D84" i="1"/>
  <c r="B84" i="1" s="1"/>
  <c r="A84" i="1" s="1"/>
  <c r="I67" i="1"/>
  <c r="B54" i="1" s="1"/>
  <c r="D76" i="1"/>
  <c r="D80" i="1"/>
  <c r="E80" i="1" s="1"/>
  <c r="D87" i="1"/>
  <c r="B87" i="1" s="1"/>
  <c r="A87" i="1" s="1"/>
  <c r="D78" i="1"/>
  <c r="D77" i="1"/>
  <c r="D86" i="1"/>
  <c r="B86" i="1" s="1"/>
  <c r="A86" i="1" s="1"/>
  <c r="D79" i="1"/>
  <c r="E79" i="1" s="1"/>
  <c r="D85" i="1"/>
  <c r="B85" i="1" s="1"/>
  <c r="A85" i="1" s="1"/>
  <c r="E81" i="1"/>
  <c r="B129" i="1"/>
  <c r="A129" i="1" s="1"/>
  <c r="E120" i="1"/>
  <c r="E119" i="1"/>
  <c r="B128" i="1"/>
  <c r="A128" i="1" s="1"/>
  <c r="E123" i="1"/>
  <c r="B126" i="1"/>
  <c r="A126" i="1" s="1"/>
  <c r="B127" i="1"/>
  <c r="A127" i="1" s="1"/>
  <c r="E122" i="1"/>
  <c r="E118" i="1"/>
  <c r="E121" i="1"/>
  <c r="K18" i="1"/>
  <c r="L18" i="1" s="1"/>
  <c r="K19" i="1"/>
  <c r="L19" i="1" s="1"/>
  <c r="K17" i="1"/>
  <c r="D17" i="1"/>
  <c r="D21" i="1" s="1"/>
  <c r="B36" i="1"/>
  <c r="B33" i="1"/>
  <c r="F17" i="1"/>
  <c r="U7" i="4" l="1"/>
  <c r="V7" i="4" s="1"/>
  <c r="U6" i="4"/>
  <c r="V6" i="4" s="1"/>
  <c r="U5" i="4"/>
  <c r="V5" i="4" s="1"/>
  <c r="G17" i="1"/>
  <c r="W7" i="4" l="1"/>
  <c r="X5" i="4" s="1"/>
  <c r="L17" i="1"/>
  <c r="L21" i="1" s="1"/>
  <c r="B11" i="1" s="1"/>
  <c r="B12" i="1" s="1"/>
  <c r="G21" i="1"/>
  <c r="G22" i="1" s="1"/>
  <c r="C3" i="1" s="1"/>
  <c r="H17" i="1"/>
  <c r="I17" i="1" s="1"/>
  <c r="I21" i="1" s="1"/>
  <c r="B7" i="1" s="1"/>
  <c r="C5" i="1" l="1"/>
  <c r="E3" i="4"/>
  <c r="E4" i="4"/>
  <c r="E2" i="4"/>
  <c r="H21" i="1"/>
  <c r="B6" i="1" s="1"/>
  <c r="W17" i="2"/>
  <c r="W30" i="2"/>
  <c r="W4" i="2"/>
  <c r="E78" i="1"/>
  <c r="E77" i="1"/>
  <c r="E76" i="1"/>
  <c r="E75" i="1"/>
  <c r="H2" i="4" l="1"/>
  <c r="H4" i="4"/>
  <c r="H3" i="4"/>
  <c r="F3" i="4"/>
  <c r="I3" i="4" s="1"/>
  <c r="F4" i="4"/>
  <c r="I4" i="4" s="1"/>
  <c r="F2" i="4"/>
  <c r="I2" i="4" s="1"/>
  <c r="H3" i="3"/>
  <c r="K3" i="3" s="1"/>
  <c r="H4" i="3"/>
  <c r="K4" i="3" s="1"/>
  <c r="H2" i="3"/>
  <c r="K2" i="3" s="1"/>
  <c r="D36" i="1"/>
  <c r="E36" i="1" s="1"/>
  <c r="D31" i="1"/>
  <c r="E31" i="1" s="1"/>
  <c r="D38" i="1"/>
  <c r="E38" i="1" s="1"/>
  <c r="D29" i="1"/>
  <c r="E29" i="1" s="1"/>
  <c r="D32" i="1"/>
  <c r="E32" i="1" s="1"/>
  <c r="D35" i="1"/>
  <c r="E35" i="1" s="1"/>
  <c r="D39" i="1"/>
  <c r="E39" i="1" s="1"/>
  <c r="D43" i="1"/>
  <c r="B43" i="1" s="1"/>
  <c r="A43" i="1" s="1"/>
  <c r="D30" i="1"/>
  <c r="E30" i="1" s="1"/>
  <c r="D37" i="1"/>
  <c r="E37" i="1" s="1"/>
  <c r="D42" i="1"/>
  <c r="B42" i="1" s="1"/>
  <c r="D34" i="1"/>
  <c r="E34" i="1" s="1"/>
  <c r="D33" i="1"/>
  <c r="E33" i="1" s="1"/>
  <c r="U4" i="4" l="1"/>
  <c r="V4" i="4" s="1"/>
  <c r="U2" i="4"/>
  <c r="V2" i="4" s="1"/>
  <c r="U3" i="4"/>
  <c r="V3" i="4" s="1"/>
  <c r="W4" i="4" l="1"/>
  <c r="X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<sst xmlns="http://schemas.openxmlformats.org/spreadsheetml/2006/main" count="541" uniqueCount="165">
  <si>
    <t>sunflower</t>
  </si>
  <si>
    <t>air dried</t>
  </si>
  <si>
    <t>105℃ corrected</t>
  </si>
  <si>
    <t>Bulk density (g/cm3)</t>
  </si>
  <si>
    <t>particle density (g/cm3)</t>
  </si>
  <si>
    <t>porosity</t>
  </si>
  <si>
    <t>gWater/gAirdriedsoil</t>
  </si>
  <si>
    <t>%saturation of air-dried soil</t>
  </si>
  <si>
    <t>soil texture</t>
  </si>
  <si>
    <t>soil type</t>
  </si>
  <si>
    <t>silty clay</t>
  </si>
  <si>
    <t>pH</t>
  </si>
  <si>
    <t>LOI%</t>
  </si>
  <si>
    <t>SOC%</t>
  </si>
  <si>
    <t>Water Content and Organic Matter% of Air-dried Soil</t>
  </si>
  <si>
    <t>replicate</t>
  </si>
  <si>
    <t>Can+lid (g)</t>
  </si>
  <si>
    <t>Can+lid+soil (g)</t>
  </si>
  <si>
    <t>soil wt (g) before drying</t>
  </si>
  <si>
    <t>can+lid+soil weight post 105℃ (g)</t>
  </si>
  <si>
    <t>H2O lost (g)</t>
  </si>
  <si>
    <t>soil weight post 105℃ (g)</t>
  </si>
  <si>
    <t>GM (gH2O/g105C dried soil)</t>
  </si>
  <si>
    <t>%sat of air dried soil</t>
  </si>
  <si>
    <t>can+lid+soil weight post 505℃ (g)</t>
  </si>
  <si>
    <t>OM lost (g)</t>
  </si>
  <si>
    <t>average</t>
  </si>
  <si>
    <t>m105/mair-dried</t>
  </si>
  <si>
    <t>Soil Moisture Amendment Calculations</t>
  </si>
  <si>
    <t>grams of water needed per gram of soil=target moisture% * porosity of soil</t>
  </si>
  <si>
    <t>Target %S</t>
  </si>
  <si>
    <t>gWater needed per gSoil</t>
  </si>
  <si>
    <t>gSoil in experiment</t>
  </si>
  <si>
    <t>uL water already in soil</t>
  </si>
  <si>
    <t>uL water to add</t>
  </si>
  <si>
    <t>1g water~1mL</t>
  </si>
  <si>
    <t>back calculation of target %S from volume of water added</t>
  </si>
  <si>
    <t>corn</t>
  </si>
  <si>
    <t>avg</t>
  </si>
  <si>
    <t>rosemary</t>
  </si>
  <si>
    <t>silt</t>
  </si>
  <si>
    <t>oregano</t>
  </si>
  <si>
    <t>silt loam</t>
  </si>
  <si>
    <t>sod</t>
  </si>
  <si>
    <t>silty clay loam</t>
  </si>
  <si>
    <t>buckwheat</t>
  </si>
  <si>
    <t>asparagus</t>
  </si>
  <si>
    <t>young cherry tree</t>
  </si>
  <si>
    <t>current RF</t>
  </si>
  <si>
    <t>measured FGF sunflower and corn soils, 22℃, 20%, 2g of soil per bottle,acclimated overnight, measured on ,  used lab air as dilution gas</t>
  </si>
  <si>
    <t>lab air</t>
  </si>
  <si>
    <t>LinEst nums:</t>
  </si>
  <si>
    <t>SE = Standard Error</t>
  </si>
  <si>
    <t>vol (mL)</t>
  </si>
  <si>
    <t>H2 area</t>
  </si>
  <si>
    <t>H2 conc</t>
  </si>
  <si>
    <t>Slope</t>
  </si>
  <si>
    <t>Y int</t>
  </si>
  <si>
    <t>SE Slope</t>
  </si>
  <si>
    <t>SE y int</t>
  </si>
  <si>
    <t>R^2</t>
  </si>
  <si>
    <t>SE y</t>
  </si>
  <si>
    <t>F-State</t>
  </si>
  <si>
    <t>Deg. Freedom</t>
  </si>
  <si>
    <t>Reg Sum</t>
  </si>
  <si>
    <t>Resid Sum</t>
  </si>
  <si>
    <t>sampling Time</t>
  </si>
  <si>
    <t>Time diff</t>
  </si>
  <si>
    <t>Time diff (number)</t>
  </si>
  <si>
    <t>time point</t>
  </si>
  <si>
    <t>time (min)</t>
  </si>
  <si>
    <t>injection time</t>
  </si>
  <si>
    <t>dilution vol (mL)</t>
  </si>
  <si>
    <t>H2 ppm, calculated</t>
  </si>
  <si>
    <t>dilution corrected</t>
  </si>
  <si>
    <t>Comments</t>
  </si>
  <si>
    <t>Natural Log (ln) -  linear</t>
  </si>
  <si>
    <t>Slope (k)</t>
  </si>
  <si>
    <t>Baselined</t>
  </si>
  <si>
    <t>LinEst to Air</t>
  </si>
  <si>
    <t>LinEst Floating</t>
  </si>
  <si>
    <t>Abs(Air M)</t>
  </si>
  <si>
    <t>Linest Floating - Abbreviated</t>
  </si>
  <si>
    <t>Abs(Brev Float M)/grams SOC</t>
  </si>
  <si>
    <t>*</t>
  </si>
  <si>
    <t>Missed?</t>
  </si>
  <si>
    <t>measured FGF rosemary and oregano soils, 22℃, 20%, 2g of soil per bottle,acclimated overnight, measured on ,  used lab air as dilution gas</t>
  </si>
  <si>
    <t>Temp Change in RCP Bed and Column, Unsure why, 6 incubation measurements performed after reheating column</t>
  </si>
  <si>
    <t>measured FGF sod and buckwheat soils, 22℃, 20%, 2g of soil per bottle,acclimated overnight, measured on ,  used lab air as dilution gas</t>
  </si>
  <si>
    <t>measured MF asparagus and young cherry tree soils, 22℃, 20%, 2g of soil per bottle,acclimated overnight, measured on ,  used lab air as dilution gas</t>
  </si>
  <si>
    <t>sample ID</t>
  </si>
  <si>
    <t>al can+lid (g)</t>
  </si>
  <si>
    <t>can+lid+soil (g)</t>
  </si>
  <si>
    <t>soil(g)</t>
  </si>
  <si>
    <t>can+lid+soilpost 105℃(g)</t>
  </si>
  <si>
    <t>water lost (g)</t>
  </si>
  <si>
    <t>gravimetric water content (lost water/m105C soil)</t>
  </si>
  <si>
    <t>bulk density 105℃ (g/cm3)</t>
  </si>
  <si>
    <t>volumetric water content=gw*bulk density105℃</t>
  </si>
  <si>
    <t>porosity 105℃</t>
  </si>
  <si>
    <t>%saturation</t>
  </si>
  <si>
    <t>WP</t>
  </si>
  <si>
    <t>k (min-1)</t>
  </si>
  <si>
    <t>date of measurement</t>
  </si>
  <si>
    <t>note</t>
  </si>
  <si>
    <t>temp</t>
  </si>
  <si>
    <t>target moisture</t>
  </si>
  <si>
    <t>gravimetric water content (gH2O/g dry soil)</t>
  </si>
  <si>
    <t>volumetric water content (=gwc*bulk density)</t>
  </si>
  <si>
    <t>%saturation (=vwc/porosity)</t>
  </si>
  <si>
    <t>WP (Mpa)</t>
  </si>
  <si>
    <t>incubation used air dried soil weight (g)</t>
  </si>
  <si>
    <t>SOC (%)</t>
  </si>
  <si>
    <t>performer of experiment</t>
  </si>
  <si>
    <t>date of soil collection</t>
  </si>
  <si>
    <t>sf</t>
  </si>
  <si>
    <t>QQ+CG</t>
  </si>
  <si>
    <t>rm</t>
  </si>
  <si>
    <t>bw</t>
  </si>
  <si>
    <t>as</t>
  </si>
  <si>
    <t>ch</t>
  </si>
  <si>
    <t>75%sand, 19%silt, 6%clay</t>
  </si>
  <si>
    <t>sandy loam</t>
  </si>
  <si>
    <t>66.7% sand, 26.7% silt, 6.7% clay</t>
  </si>
  <si>
    <t>k max, assume at 24.815% at 22℃, using NJ meadow soil 22℃ QQ function</t>
  </si>
  <si>
    <t>kmax calculated by averaging the three measurements</t>
  </si>
  <si>
    <t>kmax corresponding average %Sat</t>
  </si>
  <si>
    <t xml:space="preserve"> (No Tails)</t>
  </si>
  <si>
    <t>Abs(All Data M/grams SOC</t>
  </si>
  <si>
    <t>No Tails</t>
  </si>
  <si>
    <t>Tails</t>
  </si>
  <si>
    <t>k (min-1) - All Data</t>
  </si>
  <si>
    <t>k (min-1) - No Tails</t>
  </si>
  <si>
    <t>SOC normalized k (min-1SOC-1) All Data</t>
  </si>
  <si>
    <t>SOC normalized k (min-1SOC-1) No Tails</t>
  </si>
  <si>
    <t>weight normalized k (min-1 gSoil-1) - All Data</t>
  </si>
  <si>
    <t>weight normalized k (min-1 gSoil-1) - No Tails</t>
  </si>
  <si>
    <t>meadow quadratic function calculated weight normalized k value</t>
  </si>
  <si>
    <t>ratio of weight normalized k between this soil/meadow soil</t>
  </si>
  <si>
    <t>avg ratio</t>
  </si>
  <si>
    <t>Note: Used Lab Air numbers from 03/22/2026 because the numbers form July 2025 were missing (I'm not sure why?)</t>
  </si>
  <si>
    <t>FGF-sod-20-1</t>
  </si>
  <si>
    <t>FGF-or-20-3</t>
  </si>
  <si>
    <t>FGF-or-20-2</t>
  </si>
  <si>
    <t>FGF-or-20-1</t>
  </si>
  <si>
    <t>FGF-rm-20-3</t>
  </si>
  <si>
    <t>FGF-rm-20-2</t>
  </si>
  <si>
    <t>FGF-rm-20-1</t>
  </si>
  <si>
    <t>FGF-co-20-3</t>
  </si>
  <si>
    <t>FGF-co-20-2</t>
  </si>
  <si>
    <t>FGF-co-20-1</t>
  </si>
  <si>
    <t>FGF-sf-20-3</t>
  </si>
  <si>
    <t>FGF-sf-20-2</t>
  </si>
  <si>
    <t>FGF-sf-20-1</t>
  </si>
  <si>
    <t>FGF-sod-20-2</t>
  </si>
  <si>
    <t>FGF-sod-20-3</t>
  </si>
  <si>
    <t>FGF-bw-20-1</t>
  </si>
  <si>
    <t>FGF-bw-20-2</t>
  </si>
  <si>
    <t>FGF-bw-20-3</t>
  </si>
  <si>
    <t>MF-as-20-1</t>
  </si>
  <si>
    <t>MF-as-20-2</t>
  </si>
  <si>
    <t>MF-as-20-3</t>
  </si>
  <si>
    <t>MF-ch-20-1</t>
  </si>
  <si>
    <t>MF-ch-20-2</t>
  </si>
  <si>
    <t>MF-ch-20-3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</si>
</sst>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"/>
    <numFmt numFmtId="167" formatCode="0.00000"/>
    <numFmt numFmtId="168" formatCode="0.000000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Display"/>
      <scheme val="major"/>
    </font>
    <font>
      <sz val="12"/>
      <color theme="5"/>
      <name val="Aptos Display"/>
      <scheme val="major"/>
    </font>
    <font>
      <b/>
      <sz val="12"/>
      <color theme="1"/>
      <name val="Aptos Display"/>
      <scheme val="major"/>
    </font>
    <font>
      <sz val="12"/>
      <color theme="1" tint="0.499984740745262"/>
      <name val="Aptos Narrow"/>
      <family val="2"/>
      <scheme val="minor"/>
    </font>
    <font>
      <sz val="12"/>
      <color rgb="FF000000"/>
      <name val="Aptos Display"/>
      <charset val="1"/>
    </font>
    <font>
      <sz val="12"/>
      <color theme="1"/>
      <name val="Aptos Narrow"/>
      <scheme val="minor"/>
    </font>
    <font>
      <b/>
      <sz val="12"/>
      <color theme="1"/>
      <name val="Aptos Display"/>
      <family val="2"/>
      <scheme val="major"/>
    </font>
    <font>
      <i/>
      <sz val="12"/>
      <color theme="1"/>
      <name val="Aptos Display"/>
      <family val="2"/>
      <scheme val="major"/>
    </font>
    <font>
      <sz val="12"/>
      <color rgb="FF000000"/>
      <name val="Aptos Narrow"/>
      <family val="2"/>
      <scheme val="minor"/>
    </font>
    <font>
      <b/>
      <sz val="12"/>
      <color theme="9" tint="-0.249977111117893"/>
      <name val="Aptos Display"/>
      <scheme val="major"/>
    </font>
    <font>
      <b/>
      <sz val="12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164" fontId="1" fillId="0" borderId="0" xfId="0" applyNumberFormat="1" applyFont="1"/>
    <xf numFmtId="0" fontId="2" fillId="0" borderId="0" xfId="0" applyFont="1"/>
    <xf numFmtId="2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/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0" xfId="0" applyFill="1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/>
    <xf numFmtId="0" fontId="0" fillId="0" borderId="0" xfId="0" applyAlignment="1">
      <alignment wrapText="1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165" fontId="0" fillId="0" borderId="2" xfId="0" applyNumberFormat="1" applyBorder="1" applyAlignment="1">
      <alignment horizontal="right" wrapText="1"/>
    </xf>
    <xf numFmtId="0" fontId="0" fillId="0" borderId="2" xfId="0" applyBorder="1" applyAlignment="1">
      <alignment horizontal="right"/>
    </xf>
    <xf numFmtId="20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165" fontId="3" fillId="0" borderId="1" xfId="0" applyNumberFormat="1" applyFont="1" applyBorder="1" applyAlignment="1">
      <alignment wrapText="1"/>
    </xf>
    <xf numFmtId="165" fontId="1" fillId="3" borderId="0" xfId="0" applyNumberFormat="1" applyFont="1" applyFill="1"/>
    <xf numFmtId="166" fontId="0" fillId="0" borderId="0" xfId="0" applyNumberFormat="1" applyAlignment="1">
      <alignment wrapText="1"/>
    </xf>
    <xf numFmtId="164" fontId="1" fillId="0" borderId="0" xfId="0" applyNumberFormat="1" applyFont="1" applyAlignment="1">
      <alignment horizontal="right"/>
    </xf>
    <xf numFmtId="0" fontId="1" fillId="4" borderId="0" xfId="0" applyFont="1" applyFill="1"/>
    <xf numFmtId="0" fontId="1" fillId="4" borderId="0" xfId="0" applyFont="1" applyFill="1" applyAlignment="1">
      <alignment horizontal="right"/>
    </xf>
    <xf numFmtId="164" fontId="0" fillId="0" borderId="2" xfId="0" applyNumberFormat="1" applyBorder="1" applyAlignment="1">
      <alignment horizontal="right"/>
    </xf>
    <xf numFmtId="166" fontId="0" fillId="0" borderId="0" xfId="0" applyNumberFormat="1" applyAlignment="1">
      <alignment horizontal="right"/>
    </xf>
    <xf numFmtId="2" fontId="1" fillId="0" borderId="0" xfId="0" applyNumberFormat="1" applyFont="1"/>
    <xf numFmtId="16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0" fontId="5" fillId="0" borderId="0" xfId="0" applyFont="1"/>
    <xf numFmtId="0" fontId="5" fillId="5" borderId="0" xfId="0" applyFont="1" applyFill="1"/>
    <xf numFmtId="0" fontId="5" fillId="5" borderId="0" xfId="0" applyFont="1" applyFill="1" applyAlignment="1">
      <alignment horizontal="right"/>
    </xf>
    <xf numFmtId="0" fontId="5" fillId="6" borderId="0" xfId="0" applyFont="1" applyFill="1"/>
    <xf numFmtId="0" fontId="5" fillId="0" borderId="0" xfId="0" applyFont="1" applyAlignment="1">
      <alignment wrapText="1"/>
    </xf>
    <xf numFmtId="0" fontId="5" fillId="0" borderId="0" xfId="0" applyFont="1" applyAlignment="1">
      <alignment horizontal="right"/>
    </xf>
    <xf numFmtId="2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 wrapText="1"/>
    </xf>
    <xf numFmtId="1" fontId="5" fillId="0" borderId="0" xfId="0" applyNumberFormat="1" applyFont="1"/>
    <xf numFmtId="165" fontId="5" fillId="0" borderId="0" xfId="0" applyNumberFormat="1" applyFont="1"/>
    <xf numFmtId="0" fontId="6" fillId="0" borderId="0" xfId="0" applyFont="1"/>
    <xf numFmtId="2" fontId="1" fillId="0" borderId="2" xfId="0" applyNumberFormat="1" applyFont="1" applyBorder="1"/>
    <xf numFmtId="0" fontId="1" fillId="0" borderId="2" xfId="0" applyFont="1" applyBorder="1" applyAlignment="1">
      <alignment horizontal="right"/>
    </xf>
    <xf numFmtId="164" fontId="1" fillId="0" borderId="2" xfId="0" applyNumberFormat="1" applyFont="1" applyBorder="1" applyAlignment="1">
      <alignment horizontal="right"/>
    </xf>
    <xf numFmtId="0" fontId="5" fillId="7" borderId="0" xfId="0" applyFont="1" applyFill="1" applyAlignment="1">
      <alignment horizontal="left" vertical="center"/>
    </xf>
    <xf numFmtId="2" fontId="0" fillId="0" borderId="0" xfId="0" applyNumberFormat="1"/>
    <xf numFmtId="1" fontId="0" fillId="0" borderId="0" xfId="0" applyNumberFormat="1"/>
    <xf numFmtId="167" fontId="0" fillId="0" borderId="0" xfId="0" applyNumberFormat="1"/>
    <xf numFmtId="165" fontId="7" fillId="0" borderId="1" xfId="0" applyNumberFormat="1" applyFont="1" applyBorder="1" applyAlignment="1">
      <alignment wrapText="1"/>
    </xf>
    <xf numFmtId="167" fontId="7" fillId="0" borderId="1" xfId="0" applyNumberFormat="1" applyFont="1" applyBorder="1" applyAlignment="1">
      <alignment wrapText="1"/>
    </xf>
    <xf numFmtId="167" fontId="1" fillId="3" borderId="0" xfId="0" applyNumberFormat="1" applyFont="1" applyFill="1"/>
    <xf numFmtId="164" fontId="0" fillId="0" borderId="0" xfId="0" applyNumberFormat="1"/>
    <xf numFmtId="0" fontId="8" fillId="0" borderId="0" xfId="0" applyFont="1"/>
    <xf numFmtId="0" fontId="1" fillId="8" borderId="0" xfId="0" applyFont="1" applyFill="1"/>
    <xf numFmtId="1" fontId="1" fillId="3" borderId="0" xfId="0" applyNumberFormat="1" applyFont="1" applyFill="1"/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2" fontId="0" fillId="0" borderId="0" xfId="0" applyNumberFormat="1" applyAlignment="1">
      <alignment wrapText="1"/>
    </xf>
    <xf numFmtId="167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166" fontId="0" fillId="0" borderId="2" xfId="0" applyNumberFormat="1" applyBorder="1"/>
    <xf numFmtId="166" fontId="1" fillId="0" borderId="2" xfId="0" applyNumberFormat="1" applyFont="1" applyBorder="1"/>
    <xf numFmtId="166" fontId="1" fillId="0" borderId="2" xfId="0" applyNumberFormat="1" applyFont="1" applyBorder="1" applyAlignment="1">
      <alignment wrapText="1"/>
    </xf>
    <xf numFmtId="165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right"/>
    </xf>
    <xf numFmtId="165" fontId="1" fillId="0" borderId="2" xfId="0" applyNumberFormat="1" applyFont="1" applyBorder="1"/>
    <xf numFmtId="1" fontId="0" fillId="0" borderId="2" xfId="0" applyNumberFormat="1" applyBorder="1" applyAlignment="1">
      <alignment horizontal="right"/>
    </xf>
    <xf numFmtId="166" fontId="0" fillId="0" borderId="0" xfId="0" applyNumberFormat="1"/>
    <xf numFmtId="166" fontId="9" fillId="0" borderId="2" xfId="0" applyNumberFormat="1" applyFont="1" applyBorder="1"/>
    <xf numFmtId="166" fontId="9" fillId="0" borderId="3" xfId="0" applyNumberFormat="1" applyFont="1" applyBorder="1"/>
    <xf numFmtId="165" fontId="1" fillId="0" borderId="2" xfId="0" applyNumberFormat="1" applyFont="1" applyBorder="1" applyAlignment="1">
      <alignment horizontal="right"/>
    </xf>
    <xf numFmtId="0" fontId="4" fillId="0" borderId="2" xfId="0" applyFont="1" applyBorder="1"/>
    <xf numFmtId="164" fontId="1" fillId="0" borderId="2" xfId="0" applyNumberFormat="1" applyFont="1" applyBorder="1"/>
    <xf numFmtId="164" fontId="2" fillId="0" borderId="2" xfId="0" applyNumberFormat="1" applyFont="1" applyBorder="1"/>
    <xf numFmtId="2" fontId="2" fillId="0" borderId="2" xfId="0" applyNumberFormat="1" applyFont="1" applyBorder="1"/>
    <xf numFmtId="164" fontId="2" fillId="0" borderId="2" xfId="0" applyNumberFormat="1" applyFont="1" applyBorder="1" applyAlignment="1">
      <alignment horizontal="right"/>
    </xf>
    <xf numFmtId="2" fontId="2" fillId="0" borderId="2" xfId="0" applyNumberFormat="1" applyFont="1" applyBorder="1" applyAlignment="1">
      <alignment horizontal="right"/>
    </xf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166" fontId="9" fillId="0" borderId="2" xfId="0" applyNumberFormat="1" applyFont="1" applyBorder="1" applyAlignment="1">
      <alignment horizontal="right"/>
    </xf>
    <xf numFmtId="2" fontId="1" fillId="0" borderId="2" xfId="0" applyNumberFormat="1" applyFont="1" applyBorder="1" applyAlignment="1">
      <alignment horizontal="right"/>
    </xf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3" fillId="0" borderId="0" xfId="0" applyFont="1"/>
    <xf numFmtId="0" fontId="6" fillId="0" borderId="2" xfId="0" applyFont="1" applyBorder="1"/>
    <xf numFmtId="164" fontId="6" fillId="0" borderId="2" xfId="0" applyNumberFormat="1" applyFont="1" applyBorder="1"/>
    <xf numFmtId="2" fontId="6" fillId="0" borderId="2" xfId="0" applyNumberFormat="1" applyFont="1" applyBorder="1"/>
    <xf numFmtId="0" fontId="6" fillId="0" borderId="2" xfId="0" applyFont="1" applyBorder="1" applyAlignment="1">
      <alignment wrapText="1"/>
    </xf>
    <xf numFmtId="165" fontId="6" fillId="0" borderId="2" xfId="0" applyNumberFormat="1" applyFont="1" applyBorder="1"/>
    <xf numFmtId="1" fontId="0" fillId="0" borderId="0" xfId="0" applyNumberFormat="1" applyAlignment="1">
      <alignment wrapText="1"/>
    </xf>
    <xf numFmtId="14" fontId="6" fillId="0" borderId="2" xfId="0" applyNumberFormat="1" applyFont="1" applyBorder="1"/>
    <xf numFmtId="0" fontId="11" fillId="0" borderId="0" xfId="0" applyFont="1" applyAlignment="1">
      <alignment horizontal="right" wrapText="1"/>
    </xf>
    <xf numFmtId="2" fontId="11" fillId="0" borderId="0" xfId="0" applyNumberFormat="1" applyFont="1" applyAlignment="1">
      <alignment wrapText="1"/>
    </xf>
    <xf numFmtId="0" fontId="11" fillId="0" borderId="0" xfId="0" applyFont="1"/>
    <xf numFmtId="167" fontId="11" fillId="0" borderId="0" xfId="0" applyNumberFormat="1" applyFont="1" applyAlignment="1">
      <alignment wrapText="1"/>
    </xf>
    <xf numFmtId="168" fontId="11" fillId="0" borderId="2" xfId="0" applyNumberFormat="1" applyFont="1" applyBorder="1"/>
    <xf numFmtId="164" fontId="11" fillId="0" borderId="0" xfId="0" applyNumberFormat="1" applyFont="1" applyAlignment="1">
      <alignment wrapText="1"/>
    </xf>
    <xf numFmtId="164" fontId="11" fillId="0" borderId="2" xfId="0" applyNumberFormat="1" applyFont="1" applyBorder="1"/>
    <xf numFmtId="164" fontId="11" fillId="0" borderId="0" xfId="0" applyNumberFormat="1" applyFont="1"/>
    <xf numFmtId="165" fontId="3" fillId="0" borderId="2" xfId="0" applyNumberFormat="1" applyFont="1" applyBorder="1" applyAlignment="1">
      <alignment wrapText="1"/>
    </xf>
    <xf numFmtId="165" fontId="6" fillId="0" borderId="0" xfId="0" applyNumberFormat="1" applyFont="1"/>
    <xf numFmtId="165" fontId="3" fillId="0" borderId="0" xfId="0" applyNumberFormat="1" applyFont="1" applyAlignment="1">
      <alignment wrapText="1"/>
    </xf>
    <xf numFmtId="0" fontId="0" fillId="0" borderId="2" xfId="0" applyBorder="1"/>
    <xf numFmtId="165" fontId="0" fillId="0" borderId="2" xfId="0" applyNumberFormat="1" applyBorder="1"/>
    <xf numFmtId="2" fontId="0" fillId="0" borderId="2" xfId="0" applyNumberFormat="1" applyBorder="1"/>
    <xf numFmtId="166" fontId="11" fillId="0" borderId="2" xfId="0" applyNumberFormat="1" applyFont="1" applyBorder="1"/>
    <xf numFmtId="0" fontId="11" fillId="0" borderId="2" xfId="0" applyFont="1" applyBorder="1"/>
    <xf numFmtId="167" fontId="0" fillId="0" borderId="2" xfId="0" applyNumberFormat="1" applyBorder="1"/>
    <xf numFmtId="14" fontId="0" fillId="0" borderId="2" xfId="0" applyNumberFormat="1" applyBorder="1"/>
    <xf numFmtId="0" fontId="0" fillId="9" borderId="0" xfId="0" applyFill="1"/>
    <xf numFmtId="165" fontId="0" fillId="9" borderId="0" xfId="0" applyNumberFormat="1" applyFill="1"/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FGF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sunflower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℃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"20%"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</a:t>
            </a:r>
            <a:r>
              <a:rPr lang="en-US" altLang="zh-CN" sz="20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Uptake</a:t>
            </a:r>
            <a:endParaRPr lang="en-US" sz="2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35156124193675"/>
          <c:y val="0.11065503555421641"/>
          <c:w val="0.80424012402029343"/>
          <c:h val="0.68651320560380169"/>
        </c:manualLayout>
      </c:layout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30616964079928288"/>
                  <c:y val="-0.2841877350702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'H2 uptake rates'!$E$4:$E$13</c:f>
              <c:numCache>
                <c:formatCode>0</c:formatCode>
                <c:ptCount val="10"/>
                <c:pt idx="0">
                  <c:v>0</c:v>
                </c:pt>
                <c:pt idx="1">
                  <c:v>9</c:v>
                </c:pt>
                <c:pt idx="2">
                  <c:v>23</c:v>
                </c:pt>
                <c:pt idx="3">
                  <c:v>37</c:v>
                </c:pt>
                <c:pt idx="4">
                  <c:v>64</c:v>
                </c:pt>
                <c:pt idx="5">
                  <c:v>86</c:v>
                </c:pt>
                <c:pt idx="6">
                  <c:v>116</c:v>
                </c:pt>
                <c:pt idx="7">
                  <c:v>147</c:v>
                </c:pt>
                <c:pt idx="8">
                  <c:v>194</c:v>
                </c:pt>
                <c:pt idx="9">
                  <c:v>248</c:v>
                </c:pt>
              </c:numCache>
            </c:numRef>
          </c:xVal>
          <c:yVal>
            <c:numRef>
              <c:f>'H2 uptake rates'!$J$4:$J$13</c:f>
              <c:numCache>
                <c:formatCode>0.000</c:formatCode>
                <c:ptCount val="10"/>
                <c:pt idx="0" formatCode="0.0000">
                  <c:v>0.54525532868586946</c:v>
                </c:pt>
                <c:pt idx="1">
                  <c:v>0.43639478990948705</c:v>
                </c:pt>
                <c:pt idx="2">
                  <c:v>0.47612649752397618</c:v>
                </c:pt>
                <c:pt idx="3">
                  <c:v>0.39536702869691048</c:v>
                </c:pt>
                <c:pt idx="4">
                  <c:v>0.31449408052254679</c:v>
                </c:pt>
                <c:pt idx="5">
                  <c:v>0.21979257890376561</c:v>
                </c:pt>
                <c:pt idx="6">
                  <c:v>0.20943211358203381</c:v>
                </c:pt>
                <c:pt idx="7">
                  <c:v>0.20311310571670393</c:v>
                </c:pt>
                <c:pt idx="8">
                  <c:v>0.13722739484864249</c:v>
                </c:pt>
                <c:pt idx="9">
                  <c:v>8.383038478058559E-2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B4-2547-B998-B1577033686E}"/>
            </c:ext>
          </c:extLst>
        </c:ser>
        <c:ser>
          <c:idx val="1"/>
          <c:order val="1"/>
          <c:tx>
            <c:v>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'H2 uptake rates'!$E$17:$E$26</c:f>
              <c:numCache>
                <c:formatCode>0</c:formatCode>
                <c:ptCount val="10"/>
                <c:pt idx="0">
                  <c:v>0</c:v>
                </c:pt>
                <c:pt idx="1">
                  <c:v>9</c:v>
                </c:pt>
                <c:pt idx="3">
                  <c:v>36</c:v>
                </c:pt>
                <c:pt idx="4">
                  <c:v>63</c:v>
                </c:pt>
                <c:pt idx="5">
                  <c:v>85</c:v>
                </c:pt>
                <c:pt idx="6">
                  <c:v>115</c:v>
                </c:pt>
                <c:pt idx="7">
                  <c:v>146</c:v>
                </c:pt>
                <c:pt idx="8">
                  <c:v>193</c:v>
                </c:pt>
                <c:pt idx="9">
                  <c:v>246</c:v>
                </c:pt>
              </c:numCache>
            </c:numRef>
          </c:xVal>
          <c:yVal>
            <c:numRef>
              <c:f>'H2 uptake rates'!$J$17:$J$26</c:f>
              <c:numCache>
                <c:formatCode>0.000</c:formatCode>
                <c:ptCount val="10"/>
                <c:pt idx="0">
                  <c:v>0.41749749228575955</c:v>
                </c:pt>
                <c:pt idx="1">
                  <c:v>0.46113726935193178</c:v>
                </c:pt>
                <c:pt idx="3">
                  <c:v>0.38092727946967747</c:v>
                </c:pt>
                <c:pt idx="4">
                  <c:v>0.31359819093861535</c:v>
                </c:pt>
                <c:pt idx="5">
                  <c:v>0.26059338142174621</c:v>
                </c:pt>
                <c:pt idx="6">
                  <c:v>0.22701942154747934</c:v>
                </c:pt>
                <c:pt idx="7">
                  <c:v>0.19202000180189041</c:v>
                </c:pt>
                <c:pt idx="8">
                  <c:v>0.16110583855902894</c:v>
                </c:pt>
                <c:pt idx="9">
                  <c:v>6.6866217792407923E-2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B4-2547-B998-B1577033686E}"/>
            </c:ext>
          </c:extLst>
        </c:ser>
        <c:ser>
          <c:idx val="2"/>
          <c:order val="2"/>
          <c:tx>
            <c:v>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'H2 uptake rates'!$E$30:$E$39</c:f>
              <c:numCache>
                <c:formatCode>0</c:formatCode>
                <c:ptCount val="10"/>
                <c:pt idx="0">
                  <c:v>0</c:v>
                </c:pt>
                <c:pt idx="1">
                  <c:v>10</c:v>
                </c:pt>
                <c:pt idx="3">
                  <c:v>35</c:v>
                </c:pt>
                <c:pt idx="4">
                  <c:v>61</c:v>
                </c:pt>
                <c:pt idx="5">
                  <c:v>83</c:v>
                </c:pt>
                <c:pt idx="6">
                  <c:v>113</c:v>
                </c:pt>
                <c:pt idx="7">
                  <c:v>144</c:v>
                </c:pt>
                <c:pt idx="8">
                  <c:v>191</c:v>
                </c:pt>
                <c:pt idx="9">
                  <c:v>244</c:v>
                </c:pt>
              </c:numCache>
            </c:numRef>
          </c:xVal>
          <c:yVal>
            <c:numRef>
              <c:f>'H2 uptake rates'!$J$30:$J$39</c:f>
              <c:numCache>
                <c:formatCode>0.000</c:formatCode>
                <c:ptCount val="10"/>
                <c:pt idx="0">
                  <c:v>0.45519453511185315</c:v>
                </c:pt>
                <c:pt idx="1">
                  <c:v>0.37171554368111998</c:v>
                </c:pt>
                <c:pt idx="3">
                  <c:v>0.34078943524380612</c:v>
                </c:pt>
                <c:pt idx="4">
                  <c:v>0.30851551069911087</c:v>
                </c:pt>
                <c:pt idx="5">
                  <c:v>0.23859431497187378</c:v>
                </c:pt>
                <c:pt idx="6">
                  <c:v>0.22498873849056805</c:v>
                </c:pt>
                <c:pt idx="7">
                  <c:v>0.17657287450917003</c:v>
                </c:pt>
                <c:pt idx="8">
                  <c:v>0.13296495129487082</c:v>
                </c:pt>
                <c:pt idx="9">
                  <c:v>5.6694884716172782E-2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4B4-2547-B998-B15770336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3803023"/>
        <c:axId val="720799392"/>
      </c:scatterChart>
      <c:valAx>
        <c:axId val="1653803023"/>
        <c:scaling>
          <c:orientation val="minMax"/>
          <c:max val="2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Time</a:t>
                </a:r>
                <a:r>
                  <a:rPr lang="zh-CN" altLang="en-US" sz="1800"/>
                  <a:t> </a:t>
                </a:r>
                <a:r>
                  <a:rPr lang="en-US" altLang="zh-CN" sz="1800"/>
                  <a:t>(min)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799392"/>
        <c:crosses val="autoZero"/>
        <c:crossBetween val="midCat"/>
      </c:valAx>
      <c:valAx>
        <c:axId val="7207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H</a:t>
                </a:r>
                <a:r>
                  <a:rPr lang="en-US" altLang="zh-CN" sz="1800" baseline="-25000"/>
                  <a:t>2</a:t>
                </a:r>
                <a:r>
                  <a:rPr lang="zh-CN" altLang="en-US" sz="1800"/>
                  <a:t> </a:t>
                </a:r>
                <a:r>
                  <a:rPr lang="en-US" altLang="zh-CN" sz="1800"/>
                  <a:t>Concentration</a:t>
                </a:r>
                <a:r>
                  <a:rPr lang="zh-CN" altLang="en-US" sz="1800"/>
                  <a:t> </a:t>
                </a:r>
                <a:r>
                  <a:rPr lang="en-US" altLang="zh-CN" sz="1800"/>
                  <a:t>(ppm)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803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FGF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corn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℃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"20%"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</a:t>
            </a:r>
            <a:r>
              <a:rPr lang="en-US" altLang="zh-CN" sz="20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Uptake</a:t>
            </a:r>
            <a:endParaRPr lang="en-US" sz="2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37737795656783735"/>
          <c:y val="5.4347061707655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559459271725514"/>
          <c:y val="0.1991742250720516"/>
          <c:w val="0.7550335243114874"/>
          <c:h val="0.58177543960134959"/>
        </c:manualLayout>
      </c:layout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'H2 uptake rates'!$E$43:$E$52</c:f>
              <c:numCache>
                <c:formatCode>0</c:formatCode>
                <c:ptCount val="10"/>
                <c:pt idx="0">
                  <c:v>0</c:v>
                </c:pt>
                <c:pt idx="1">
                  <c:v>8</c:v>
                </c:pt>
                <c:pt idx="3">
                  <c:v>38</c:v>
                </c:pt>
                <c:pt idx="5">
                  <c:v>81</c:v>
                </c:pt>
                <c:pt idx="6">
                  <c:v>110</c:v>
                </c:pt>
                <c:pt idx="7">
                  <c:v>142</c:v>
                </c:pt>
                <c:pt idx="8">
                  <c:v>189</c:v>
                </c:pt>
                <c:pt idx="9">
                  <c:v>243</c:v>
                </c:pt>
              </c:numCache>
            </c:numRef>
          </c:xVal>
          <c:yVal>
            <c:numRef>
              <c:f>'H2 uptake rates'!$J$43:$J$52</c:f>
              <c:numCache>
                <c:formatCode>0.000</c:formatCode>
                <c:ptCount val="10"/>
                <c:pt idx="0">
                  <c:v>0.38780771147427107</c:v>
                </c:pt>
                <c:pt idx="1">
                  <c:v>0.45971579121209388</c:v>
                </c:pt>
                <c:pt idx="3">
                  <c:v>0.38173955269244197</c:v>
                </c:pt>
                <c:pt idx="5">
                  <c:v>0.23027249617002157</c:v>
                </c:pt>
                <c:pt idx="6">
                  <c:v>0.19682396083750509</c:v>
                </c:pt>
                <c:pt idx="7">
                  <c:v>0.19590617173041089</c:v>
                </c:pt>
                <c:pt idx="8">
                  <c:v>0.12570028220205776</c:v>
                </c:pt>
                <c:pt idx="9">
                  <c:v>9.9817036689406918E-2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05-714C-9308-BBFA979B4D50}"/>
            </c:ext>
          </c:extLst>
        </c:ser>
        <c:ser>
          <c:idx val="1"/>
          <c:order val="1"/>
          <c:tx>
            <c:v>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'H2 uptake rates'!$E$56:$E$63</c:f>
              <c:numCache>
                <c:formatCode>0</c:formatCode>
                <c:ptCount val="8"/>
                <c:pt idx="0">
                  <c:v>0</c:v>
                </c:pt>
                <c:pt idx="1">
                  <c:v>8</c:v>
                </c:pt>
                <c:pt idx="3">
                  <c:v>37</c:v>
                </c:pt>
                <c:pt idx="4">
                  <c:v>55</c:v>
                </c:pt>
                <c:pt idx="5">
                  <c:v>79</c:v>
                </c:pt>
                <c:pt idx="6">
                  <c:v>109</c:v>
                </c:pt>
                <c:pt idx="7">
                  <c:v>141</c:v>
                </c:pt>
              </c:numCache>
            </c:numRef>
          </c:xVal>
          <c:yVal>
            <c:numRef>
              <c:f>'H2 uptake rates'!$J$56:$J$63</c:f>
              <c:numCache>
                <c:formatCode>0.000</c:formatCode>
                <c:ptCount val="8"/>
                <c:pt idx="0">
                  <c:v>0.61287110188378968</c:v>
                </c:pt>
                <c:pt idx="1">
                  <c:v>0.44039244831956348</c:v>
                </c:pt>
                <c:pt idx="3">
                  <c:v>0.40329067435034865</c:v>
                </c:pt>
                <c:pt idx="4">
                  <c:v>0.35060440335221071</c:v>
                </c:pt>
                <c:pt idx="5">
                  <c:v>0.27795173982685373</c:v>
                </c:pt>
                <c:pt idx="6">
                  <c:v>0.31557113888900656</c:v>
                </c:pt>
                <c:pt idx="7">
                  <c:v>0.286562234161306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05-714C-9308-BBFA979B4D50}"/>
            </c:ext>
          </c:extLst>
        </c:ser>
        <c:ser>
          <c:idx val="2"/>
          <c:order val="2"/>
          <c:tx>
            <c:v>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'H2 uptake rates'!$E$69:$E$76</c:f>
              <c:numCache>
                <c:formatCode>0</c:formatCode>
                <c:ptCount val="8"/>
                <c:pt idx="0">
                  <c:v>0</c:v>
                </c:pt>
                <c:pt idx="1">
                  <c:v>8</c:v>
                </c:pt>
                <c:pt idx="3">
                  <c:v>36</c:v>
                </c:pt>
                <c:pt idx="4">
                  <c:v>53</c:v>
                </c:pt>
                <c:pt idx="5">
                  <c:v>78</c:v>
                </c:pt>
                <c:pt idx="6">
                  <c:v>107</c:v>
                </c:pt>
                <c:pt idx="7">
                  <c:v>139</c:v>
                </c:pt>
              </c:numCache>
            </c:numRef>
          </c:xVal>
          <c:yVal>
            <c:numRef>
              <c:f>'H2 uptake rates'!$J$69:$J$76</c:f>
              <c:numCache>
                <c:formatCode>0.000</c:formatCode>
                <c:ptCount val="8"/>
                <c:pt idx="0">
                  <c:v>0.43347618073161259</c:v>
                </c:pt>
                <c:pt idx="1">
                  <c:v>0.43970759050429137</c:v>
                </c:pt>
                <c:pt idx="3">
                  <c:v>0.37505422553057122</c:v>
                </c:pt>
                <c:pt idx="4">
                  <c:v>0.32850778448097689</c:v>
                </c:pt>
                <c:pt idx="5">
                  <c:v>0.28100174614370477</c:v>
                </c:pt>
                <c:pt idx="6">
                  <c:v>0.25457897601495305</c:v>
                </c:pt>
                <c:pt idx="7">
                  <c:v>0.18216521637864438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205-714C-9308-BBFA979B4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3803023"/>
        <c:axId val="720799392"/>
      </c:scatterChart>
      <c:valAx>
        <c:axId val="1653803023"/>
        <c:scaling>
          <c:orientation val="minMax"/>
          <c:max val="16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Time</a:t>
                </a:r>
                <a:r>
                  <a:rPr lang="zh-CN" altLang="en-US" sz="1800"/>
                  <a:t> </a:t>
                </a:r>
                <a:r>
                  <a:rPr lang="en-US" altLang="zh-CN" sz="1800"/>
                  <a:t>(min)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799392"/>
        <c:crosses val="autoZero"/>
        <c:crossBetween val="midCat"/>
      </c:valAx>
      <c:valAx>
        <c:axId val="720799392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H</a:t>
                </a:r>
                <a:r>
                  <a:rPr lang="en-US" altLang="zh-CN" sz="1800" baseline="-25000"/>
                  <a:t>2</a:t>
                </a:r>
                <a:r>
                  <a:rPr lang="zh-CN" altLang="en-US" sz="1800"/>
                  <a:t> </a:t>
                </a:r>
                <a:r>
                  <a:rPr lang="en-US" altLang="zh-CN" sz="1800"/>
                  <a:t>Concentration</a:t>
                </a:r>
                <a:r>
                  <a:rPr lang="zh-CN" altLang="en-US" sz="1800"/>
                  <a:t> </a:t>
                </a:r>
                <a:r>
                  <a:rPr lang="en-US" altLang="zh-CN" sz="1800"/>
                  <a:t>(ppm)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803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FGF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rosemary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℃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"20%"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</a:t>
            </a:r>
            <a:r>
              <a:rPr lang="en-US" altLang="zh-CN" sz="20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Uptake</a:t>
            </a:r>
            <a:endParaRPr lang="en-US" sz="2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35155013461782"/>
          <c:y val="0.12012973569801946"/>
          <c:w val="0.81233360201919247"/>
          <c:h val="0.67659552064071449"/>
        </c:manualLayout>
      </c:layout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intercept val="0.434"/>
            <c:dispRSqr val="1"/>
            <c:dispEq val="1"/>
            <c:trendlineLbl>
              <c:layout>
                <c:manualLayout>
                  <c:x val="-0.54132164310649411"/>
                  <c:y val="-0.5427435854873574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6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600" baseline="0"/>
                      <a:t>1:</a:t>
                    </a:r>
                    <a:r>
                      <a:rPr lang="zh-CN" altLang="en-US" sz="1600" baseline="0"/>
                      <a:t> </a:t>
                    </a:r>
                    <a:r>
                      <a:rPr lang="en-US" sz="1600" baseline="0"/>
                      <a:t>y = 0.43400e</a:t>
                    </a:r>
                    <a:r>
                      <a:rPr lang="en-US" sz="1600" baseline="30000"/>
                      <a:t>-0.00426x</a:t>
                    </a:r>
                    <a:br>
                      <a:rPr lang="en-US" sz="1600" baseline="0"/>
                    </a:br>
                    <a:r>
                      <a:rPr lang="en-US" sz="1600" baseline="0"/>
                      <a:t>R² = 0.96963</a:t>
                    </a:r>
                    <a:endParaRPr lang="en-US" sz="1600"/>
                  </a:p>
                </c:rich>
              </c:tx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'H2 uptake rates'!$E$4:$E$13</c:f>
              <c:numCache>
                <c:formatCode>0</c:formatCode>
                <c:ptCount val="10"/>
                <c:pt idx="0">
                  <c:v>0</c:v>
                </c:pt>
                <c:pt idx="1">
                  <c:v>9</c:v>
                </c:pt>
                <c:pt idx="2">
                  <c:v>23</c:v>
                </c:pt>
                <c:pt idx="3">
                  <c:v>37</c:v>
                </c:pt>
                <c:pt idx="4">
                  <c:v>64</c:v>
                </c:pt>
                <c:pt idx="5">
                  <c:v>86</c:v>
                </c:pt>
                <c:pt idx="6">
                  <c:v>116</c:v>
                </c:pt>
                <c:pt idx="7">
                  <c:v>147</c:v>
                </c:pt>
                <c:pt idx="8">
                  <c:v>194</c:v>
                </c:pt>
                <c:pt idx="9">
                  <c:v>248</c:v>
                </c:pt>
              </c:numCache>
            </c:numRef>
          </c:xVal>
          <c:yVal>
            <c:numRef>
              <c:f>'H2 uptake rates'!$J$4:$J$13</c:f>
              <c:numCache>
                <c:formatCode>0.000</c:formatCode>
                <c:ptCount val="10"/>
                <c:pt idx="0" formatCode="0.0000">
                  <c:v>0.54525532868586946</c:v>
                </c:pt>
                <c:pt idx="1">
                  <c:v>0.43639478990948705</c:v>
                </c:pt>
                <c:pt idx="2">
                  <c:v>0.47612649752397618</c:v>
                </c:pt>
                <c:pt idx="3">
                  <c:v>0.39536702869691048</c:v>
                </c:pt>
                <c:pt idx="4">
                  <c:v>0.31449408052254679</c:v>
                </c:pt>
                <c:pt idx="5">
                  <c:v>0.21979257890376561</c:v>
                </c:pt>
                <c:pt idx="6">
                  <c:v>0.20943211358203381</c:v>
                </c:pt>
                <c:pt idx="7">
                  <c:v>0.20311310571670393</c:v>
                </c:pt>
                <c:pt idx="8">
                  <c:v>0.13722739484864249</c:v>
                </c:pt>
                <c:pt idx="9">
                  <c:v>8.383038478058559E-2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D9-8A45-89F1-974A3D038F28}"/>
            </c:ext>
          </c:extLst>
        </c:ser>
        <c:ser>
          <c:idx val="1"/>
          <c:order val="1"/>
          <c:tx>
            <c:v>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intercept val="0.439"/>
            <c:dispRSqr val="1"/>
            <c:dispEq val="1"/>
            <c:trendlineLbl>
              <c:layout>
                <c:manualLayout>
                  <c:x val="-0.2861547240693334"/>
                  <c:y val="-0.3375972411580719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6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600" baseline="0"/>
                      <a:t>2:</a:t>
                    </a:r>
                    <a:r>
                      <a:rPr lang="zh-CN" altLang="en-US" sz="1600" baseline="0"/>
                      <a:t> </a:t>
                    </a:r>
                    <a:r>
                      <a:rPr lang="en-US" sz="1600" baseline="0"/>
                      <a:t>y = 0.43900e</a:t>
                    </a:r>
                    <a:r>
                      <a:rPr lang="en-US" sz="1600" baseline="30000"/>
                      <a:t>-0.00508x</a:t>
                    </a:r>
                    <a:br>
                      <a:rPr lang="en-US" sz="1600" baseline="0"/>
                    </a:br>
                    <a:r>
                      <a:rPr lang="en-US" sz="1600" baseline="0"/>
                      <a:t>R² = 0.95069</a:t>
                    </a:r>
                    <a:endParaRPr lang="en-US" sz="1600"/>
                  </a:p>
                </c:rich>
              </c:tx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'H2 uptake rates'!$E$17:$E$26</c:f>
              <c:numCache>
                <c:formatCode>0</c:formatCode>
                <c:ptCount val="10"/>
                <c:pt idx="0">
                  <c:v>0</c:v>
                </c:pt>
                <c:pt idx="1">
                  <c:v>9</c:v>
                </c:pt>
                <c:pt idx="3">
                  <c:v>36</c:v>
                </c:pt>
                <c:pt idx="4">
                  <c:v>63</c:v>
                </c:pt>
                <c:pt idx="5">
                  <c:v>85</c:v>
                </c:pt>
                <c:pt idx="6">
                  <c:v>115</c:v>
                </c:pt>
                <c:pt idx="7">
                  <c:v>146</c:v>
                </c:pt>
                <c:pt idx="8">
                  <c:v>193</c:v>
                </c:pt>
                <c:pt idx="9">
                  <c:v>246</c:v>
                </c:pt>
              </c:numCache>
            </c:numRef>
          </c:xVal>
          <c:yVal>
            <c:numRef>
              <c:f>'H2 uptake rates'!$J$17:$J$26</c:f>
              <c:numCache>
                <c:formatCode>0.000</c:formatCode>
                <c:ptCount val="10"/>
                <c:pt idx="0">
                  <c:v>0.41749749228575955</c:v>
                </c:pt>
                <c:pt idx="1">
                  <c:v>0.46113726935193178</c:v>
                </c:pt>
                <c:pt idx="3">
                  <c:v>0.38092727946967747</c:v>
                </c:pt>
                <c:pt idx="4">
                  <c:v>0.31359819093861535</c:v>
                </c:pt>
                <c:pt idx="5">
                  <c:v>0.26059338142174621</c:v>
                </c:pt>
                <c:pt idx="6">
                  <c:v>0.22701942154747934</c:v>
                </c:pt>
                <c:pt idx="7">
                  <c:v>0.19202000180189041</c:v>
                </c:pt>
                <c:pt idx="8">
                  <c:v>0.16110583855902894</c:v>
                </c:pt>
                <c:pt idx="9">
                  <c:v>6.6866217792407923E-2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D9-8A45-89F1-974A3D038F28}"/>
            </c:ext>
          </c:extLst>
        </c:ser>
        <c:ser>
          <c:idx val="2"/>
          <c:order val="2"/>
          <c:tx>
            <c:v>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exp"/>
            <c:intercept val="0.42799999999999999"/>
            <c:dispRSqr val="1"/>
            <c:dispEq val="1"/>
            <c:trendlineLbl>
              <c:layout>
                <c:manualLayout>
                  <c:x val="-0.40467209418959127"/>
                  <c:y val="-3.625762841036332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6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600" baseline="0"/>
                      <a:t>3:</a:t>
                    </a:r>
                    <a:r>
                      <a:rPr lang="zh-CN" altLang="en-US" sz="1600" baseline="0"/>
                      <a:t> </a:t>
                    </a:r>
                    <a:r>
                      <a:rPr lang="en-US" sz="1600" baseline="0"/>
                      <a:t>y = 0.42800e</a:t>
                    </a:r>
                    <a:r>
                      <a:rPr lang="en-US" sz="1600" baseline="30000"/>
                      <a:t>-0.00530x</a:t>
                    </a:r>
                    <a:br>
                      <a:rPr lang="en-US" sz="1600" baseline="0"/>
                    </a:br>
                    <a:r>
                      <a:rPr lang="en-US" sz="1600" baseline="0"/>
                      <a:t>R² = 0.90206</a:t>
                    </a:r>
                    <a:endParaRPr lang="en-US" sz="1600"/>
                  </a:p>
                </c:rich>
              </c:tx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'H2 uptake rates'!$E$30:$E$39</c:f>
              <c:numCache>
                <c:formatCode>0</c:formatCode>
                <c:ptCount val="10"/>
                <c:pt idx="0">
                  <c:v>0</c:v>
                </c:pt>
                <c:pt idx="1">
                  <c:v>10</c:v>
                </c:pt>
                <c:pt idx="3">
                  <c:v>35</c:v>
                </c:pt>
                <c:pt idx="4">
                  <c:v>61</c:v>
                </c:pt>
                <c:pt idx="5">
                  <c:v>83</c:v>
                </c:pt>
                <c:pt idx="6">
                  <c:v>113</c:v>
                </c:pt>
                <c:pt idx="7">
                  <c:v>144</c:v>
                </c:pt>
                <c:pt idx="8">
                  <c:v>191</c:v>
                </c:pt>
                <c:pt idx="9">
                  <c:v>244</c:v>
                </c:pt>
              </c:numCache>
            </c:numRef>
          </c:xVal>
          <c:yVal>
            <c:numRef>
              <c:f>'H2 uptake rates'!$J$30:$J$39</c:f>
              <c:numCache>
                <c:formatCode>0.000</c:formatCode>
                <c:ptCount val="10"/>
                <c:pt idx="0">
                  <c:v>0.45519453511185315</c:v>
                </c:pt>
                <c:pt idx="1">
                  <c:v>0.37171554368111998</c:v>
                </c:pt>
                <c:pt idx="3">
                  <c:v>0.34078943524380612</c:v>
                </c:pt>
                <c:pt idx="4">
                  <c:v>0.30851551069911087</c:v>
                </c:pt>
                <c:pt idx="5">
                  <c:v>0.23859431497187378</c:v>
                </c:pt>
                <c:pt idx="6">
                  <c:v>0.22498873849056805</c:v>
                </c:pt>
                <c:pt idx="7">
                  <c:v>0.17657287450917003</c:v>
                </c:pt>
                <c:pt idx="8">
                  <c:v>0.13296495129487082</c:v>
                </c:pt>
                <c:pt idx="9">
                  <c:v>5.6694884716172782E-2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DD9-8A45-89F1-974A3D038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3803023"/>
        <c:axId val="720799392"/>
      </c:scatterChart>
      <c:valAx>
        <c:axId val="1653803023"/>
        <c:scaling>
          <c:orientation val="minMax"/>
          <c:max val="2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Time</a:t>
                </a:r>
                <a:r>
                  <a:rPr lang="zh-CN" altLang="en-US" sz="1800"/>
                  <a:t> </a:t>
                </a:r>
                <a:r>
                  <a:rPr lang="en-US" altLang="zh-CN" sz="1800"/>
                  <a:t>(min)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799392"/>
        <c:crosses val="autoZero"/>
        <c:crossBetween val="midCat"/>
      </c:valAx>
      <c:valAx>
        <c:axId val="7207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H</a:t>
                </a:r>
                <a:r>
                  <a:rPr lang="en-US" altLang="zh-CN" sz="1800" baseline="-25000"/>
                  <a:t>2</a:t>
                </a:r>
                <a:r>
                  <a:rPr lang="zh-CN" altLang="en-US" sz="1800"/>
                  <a:t> </a:t>
                </a:r>
                <a:r>
                  <a:rPr lang="en-US" altLang="zh-CN" sz="1800"/>
                  <a:t>Concentration</a:t>
                </a:r>
                <a:r>
                  <a:rPr lang="zh-CN" altLang="en-US" sz="1800"/>
                  <a:t> </a:t>
                </a:r>
                <a:r>
                  <a:rPr lang="en-US" altLang="zh-CN" sz="1800"/>
                  <a:t>(ppm)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803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FGF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oregano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℃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"20%"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</a:t>
            </a:r>
            <a:r>
              <a:rPr lang="en-US" altLang="zh-CN" sz="20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Uptake</a:t>
            </a:r>
            <a:endParaRPr lang="en-US" sz="2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35156124193675"/>
          <c:y val="0.11065503555421641"/>
          <c:w val="0.80546102797028585"/>
          <c:h val="0.60369937223519943"/>
        </c:manualLayout>
      </c:layout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'H2 uptake rates'!$E$122:$E$131</c:f>
              <c:numCache>
                <c:formatCode>0</c:formatCode>
                <c:ptCount val="10"/>
                <c:pt idx="0">
                  <c:v>0</c:v>
                </c:pt>
                <c:pt idx="1">
                  <c:v>16</c:v>
                </c:pt>
                <c:pt idx="2">
                  <c:v>33</c:v>
                </c:pt>
                <c:pt idx="3">
                  <c:v>49</c:v>
                </c:pt>
                <c:pt idx="4">
                  <c:v>73</c:v>
                </c:pt>
                <c:pt idx="5">
                  <c:v>108</c:v>
                </c:pt>
                <c:pt idx="6">
                  <c:v>145</c:v>
                </c:pt>
                <c:pt idx="7">
                  <c:v>178</c:v>
                </c:pt>
                <c:pt idx="8">
                  <c:v>228</c:v>
                </c:pt>
                <c:pt idx="9">
                  <c:v>280</c:v>
                </c:pt>
              </c:numCache>
            </c:numRef>
          </c:xVal>
          <c:yVal>
            <c:numRef>
              <c:f>'H2 uptake rates'!$J$122:$J$131</c:f>
              <c:numCache>
                <c:formatCode>0.000</c:formatCode>
                <c:ptCount val="10"/>
                <c:pt idx="0">
                  <c:v>0.44033471321304335</c:v>
                </c:pt>
                <c:pt idx="1">
                  <c:v>0.44696429613413619</c:v>
                </c:pt>
                <c:pt idx="2">
                  <c:v>0.3920880728197213</c:v>
                </c:pt>
                <c:pt idx="3">
                  <c:v>0.38052711545552143</c:v>
                </c:pt>
                <c:pt idx="4">
                  <c:v>0.30805362984695067</c:v>
                </c:pt>
                <c:pt idx="5">
                  <c:v>0.33933610325209507</c:v>
                </c:pt>
                <c:pt idx="6">
                  <c:v>0.2919395625306368</c:v>
                </c:pt>
                <c:pt idx="7">
                  <c:v>0.17807199641294866</c:v>
                </c:pt>
                <c:pt idx="8">
                  <c:v>0.1629274807130229</c:v>
                </c:pt>
                <c:pt idx="9">
                  <c:v>0.12948093624624851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9B-1E4A-AD9A-D03482F57EB1}"/>
            </c:ext>
          </c:extLst>
        </c:ser>
        <c:ser>
          <c:idx val="1"/>
          <c:order val="1"/>
          <c:tx>
            <c:v>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'H2 uptake rates'!$E$135:$E$144</c:f>
              <c:numCache>
                <c:formatCode>0</c:formatCode>
                <c:ptCount val="10"/>
                <c:pt idx="0">
                  <c:v>0</c:v>
                </c:pt>
                <c:pt idx="1">
                  <c:v>14</c:v>
                </c:pt>
                <c:pt idx="2">
                  <c:v>32</c:v>
                </c:pt>
                <c:pt idx="3">
                  <c:v>48</c:v>
                </c:pt>
                <c:pt idx="4">
                  <c:v>72</c:v>
                </c:pt>
                <c:pt idx="5">
                  <c:v>106</c:v>
                </c:pt>
                <c:pt idx="6">
                  <c:v>143</c:v>
                </c:pt>
                <c:pt idx="7">
                  <c:v>176</c:v>
                </c:pt>
                <c:pt idx="8">
                  <c:v>227</c:v>
                </c:pt>
                <c:pt idx="9">
                  <c:v>278</c:v>
                </c:pt>
              </c:numCache>
            </c:numRef>
          </c:xVal>
          <c:yVal>
            <c:numRef>
              <c:f>'H2 uptake rates'!$J$135:$J$144</c:f>
              <c:numCache>
                <c:formatCode>0.000</c:formatCode>
                <c:ptCount val="10"/>
                <c:pt idx="0">
                  <c:v>0.45003819283989216</c:v>
                </c:pt>
                <c:pt idx="1">
                  <c:v>0.48941751721803478</c:v>
                </c:pt>
                <c:pt idx="2">
                  <c:v>0.34484681962614455</c:v>
                </c:pt>
                <c:pt idx="3">
                  <c:v>0.40220764338666265</c:v>
                </c:pt>
                <c:pt idx="4">
                  <c:v>0.31430893000853427</c:v>
                </c:pt>
                <c:pt idx="5">
                  <c:v>0.27538153215384142</c:v>
                </c:pt>
                <c:pt idx="6">
                  <c:v>0.30106569109228526</c:v>
                </c:pt>
                <c:pt idx="7">
                  <c:v>0.20716252663607412</c:v>
                </c:pt>
                <c:pt idx="8">
                  <c:v>0.15486049272615562</c:v>
                </c:pt>
                <c:pt idx="9">
                  <c:v>8.848502888554502E-2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9B-1E4A-AD9A-D03482F57EB1}"/>
            </c:ext>
          </c:extLst>
        </c:ser>
        <c:ser>
          <c:idx val="2"/>
          <c:order val="2"/>
          <c:tx>
            <c:v>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'H2 uptake rates'!$E$148:$E$157</c:f>
              <c:numCache>
                <c:formatCode>0</c:formatCode>
                <c:ptCount val="10"/>
                <c:pt idx="0">
                  <c:v>0</c:v>
                </c:pt>
                <c:pt idx="2">
                  <c:v>30</c:v>
                </c:pt>
                <c:pt idx="3">
                  <c:v>46</c:v>
                </c:pt>
                <c:pt idx="4">
                  <c:v>70</c:v>
                </c:pt>
                <c:pt idx="5">
                  <c:v>103</c:v>
                </c:pt>
                <c:pt idx="6">
                  <c:v>141</c:v>
                </c:pt>
                <c:pt idx="7">
                  <c:v>174</c:v>
                </c:pt>
                <c:pt idx="8">
                  <c:v>225</c:v>
                </c:pt>
                <c:pt idx="9">
                  <c:v>276</c:v>
                </c:pt>
              </c:numCache>
            </c:numRef>
          </c:xVal>
          <c:yVal>
            <c:numRef>
              <c:f>'H2 uptake rates'!$J$148:$J$157</c:f>
              <c:numCache>
                <c:formatCode>0.000</c:formatCode>
                <c:ptCount val="10"/>
                <c:pt idx="0">
                  <c:v>0.4323274511984383</c:v>
                </c:pt>
                <c:pt idx="2">
                  <c:v>0.36849830464193506</c:v>
                </c:pt>
                <c:pt idx="3">
                  <c:v>0.37538670010949693</c:v>
                </c:pt>
                <c:pt idx="4">
                  <c:v>0.31691298239916177</c:v>
                </c:pt>
                <c:pt idx="5">
                  <c:v>0.32982175587074303</c:v>
                </c:pt>
                <c:pt idx="6">
                  <c:v>0.28157710634316296</c:v>
                </c:pt>
                <c:pt idx="7">
                  <c:v>0.19032975678687306</c:v>
                </c:pt>
                <c:pt idx="8">
                  <c:v>0.12271199272321083</c:v>
                </c:pt>
                <c:pt idx="9">
                  <c:v>0.1000300593238084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19B-1E4A-AD9A-D03482F57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3803023"/>
        <c:axId val="720799392"/>
      </c:scatterChart>
      <c:valAx>
        <c:axId val="165380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Time</a:t>
                </a:r>
                <a:r>
                  <a:rPr lang="zh-CN" altLang="en-US" sz="1800"/>
                  <a:t> </a:t>
                </a:r>
                <a:r>
                  <a:rPr lang="en-US" altLang="zh-CN" sz="1800"/>
                  <a:t>(min)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799392"/>
        <c:crosses val="autoZero"/>
        <c:crossBetween val="midCat"/>
      </c:valAx>
      <c:valAx>
        <c:axId val="7207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H</a:t>
                </a:r>
                <a:r>
                  <a:rPr lang="en-US" altLang="zh-CN" sz="1800" baseline="-25000"/>
                  <a:t>2</a:t>
                </a:r>
                <a:r>
                  <a:rPr lang="zh-CN" altLang="en-US" sz="1800"/>
                  <a:t> </a:t>
                </a:r>
                <a:r>
                  <a:rPr lang="en-US" altLang="zh-CN" sz="1800"/>
                  <a:t>Concentration</a:t>
                </a:r>
                <a:r>
                  <a:rPr lang="zh-CN" altLang="en-US" sz="1800"/>
                  <a:t> </a:t>
                </a:r>
                <a:r>
                  <a:rPr lang="en-US" altLang="zh-CN" sz="1800"/>
                  <a:t>(ppm)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803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FGF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sod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℃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"20%"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</a:t>
            </a:r>
            <a:r>
              <a:rPr lang="en-US" altLang="zh-CN" sz="20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Uptake</a:t>
            </a:r>
            <a:endParaRPr lang="en-US" sz="2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35156124193675"/>
          <c:y val="0.11065503555421641"/>
          <c:w val="0.78512947256898613"/>
          <c:h val="0.6692182441413842"/>
        </c:manualLayout>
      </c:layout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intercept val="0.434"/>
            <c:dispRSqr val="1"/>
            <c:dispEq val="1"/>
            <c:trendlineLbl>
              <c:layout>
                <c:manualLayout>
                  <c:x val="-0.2310762112400889"/>
                  <c:y val="-0.3371813978857248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6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600" baseline="0"/>
                      <a:t>1:</a:t>
                    </a:r>
                    <a:r>
                      <a:rPr lang="zh-CN" altLang="en-US" sz="1600" baseline="0"/>
                      <a:t> </a:t>
                    </a:r>
                    <a:r>
                      <a:rPr lang="en-US" sz="1600" baseline="0"/>
                      <a:t>y = 0.43400e</a:t>
                    </a:r>
                    <a:r>
                      <a:rPr lang="en-US" sz="1600" baseline="30000"/>
                      <a:t>-0.00426x</a:t>
                    </a:r>
                    <a:br>
                      <a:rPr lang="en-US" sz="1600" baseline="0"/>
                    </a:br>
                    <a:r>
                      <a:rPr lang="en-US" sz="1600" baseline="0"/>
                      <a:t>R² = 0.96963</a:t>
                    </a:r>
                    <a:endParaRPr lang="en-US" sz="1600"/>
                  </a:p>
                </c:rich>
              </c:tx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'H2 uptake rates'!$E$4:$E$13</c:f>
              <c:numCache>
                <c:formatCode>0</c:formatCode>
                <c:ptCount val="10"/>
                <c:pt idx="0">
                  <c:v>0</c:v>
                </c:pt>
                <c:pt idx="1">
                  <c:v>9</c:v>
                </c:pt>
                <c:pt idx="2">
                  <c:v>23</c:v>
                </c:pt>
                <c:pt idx="3">
                  <c:v>37</c:v>
                </c:pt>
                <c:pt idx="4">
                  <c:v>64</c:v>
                </c:pt>
                <c:pt idx="5">
                  <c:v>86</c:v>
                </c:pt>
                <c:pt idx="6">
                  <c:v>116</c:v>
                </c:pt>
                <c:pt idx="7">
                  <c:v>147</c:v>
                </c:pt>
                <c:pt idx="8">
                  <c:v>194</c:v>
                </c:pt>
                <c:pt idx="9">
                  <c:v>248</c:v>
                </c:pt>
              </c:numCache>
            </c:numRef>
          </c:xVal>
          <c:yVal>
            <c:numRef>
              <c:f>'H2 uptake rates'!$J$4:$J$13</c:f>
              <c:numCache>
                <c:formatCode>0.000</c:formatCode>
                <c:ptCount val="10"/>
                <c:pt idx="0" formatCode="0.0000">
                  <c:v>0.54525532868586946</c:v>
                </c:pt>
                <c:pt idx="1">
                  <c:v>0.43639478990948705</c:v>
                </c:pt>
                <c:pt idx="2">
                  <c:v>0.47612649752397618</c:v>
                </c:pt>
                <c:pt idx="3">
                  <c:v>0.39536702869691048</c:v>
                </c:pt>
                <c:pt idx="4">
                  <c:v>0.31449408052254679</c:v>
                </c:pt>
                <c:pt idx="5">
                  <c:v>0.21979257890376561</c:v>
                </c:pt>
                <c:pt idx="6">
                  <c:v>0.20943211358203381</c:v>
                </c:pt>
                <c:pt idx="7">
                  <c:v>0.20311310571670393</c:v>
                </c:pt>
                <c:pt idx="8">
                  <c:v>0.13722739484864249</c:v>
                </c:pt>
                <c:pt idx="9">
                  <c:v>8.383038478058559E-2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84-7944-9EFC-2A0FD1828C96}"/>
            </c:ext>
          </c:extLst>
        </c:ser>
        <c:ser>
          <c:idx val="1"/>
          <c:order val="1"/>
          <c:tx>
            <c:v>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intercept val="0.439"/>
            <c:dispRSqr val="1"/>
            <c:dispEq val="1"/>
            <c:trendlineLbl>
              <c:layout>
                <c:manualLayout>
                  <c:x val="-1.8376041901784209E-2"/>
                  <c:y val="-0.2110824255564850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6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600" baseline="0"/>
                      <a:t>2:</a:t>
                    </a:r>
                    <a:r>
                      <a:rPr lang="zh-CN" altLang="en-US" sz="1600" baseline="0"/>
                      <a:t> </a:t>
                    </a:r>
                    <a:r>
                      <a:rPr lang="en-US" sz="1600" baseline="0"/>
                      <a:t>y = 0.43900e</a:t>
                    </a:r>
                    <a:r>
                      <a:rPr lang="en-US" sz="1600" baseline="30000"/>
                      <a:t>-0.00508x</a:t>
                    </a:r>
                    <a:br>
                      <a:rPr lang="en-US" sz="1600" baseline="0"/>
                    </a:br>
                    <a:r>
                      <a:rPr lang="en-US" sz="1600" baseline="0"/>
                      <a:t>R² = 0.95069</a:t>
                    </a:r>
                    <a:endParaRPr lang="en-US" sz="1600"/>
                  </a:p>
                </c:rich>
              </c:tx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'H2 uptake rates'!$E$17:$E$26</c:f>
              <c:numCache>
                <c:formatCode>0</c:formatCode>
                <c:ptCount val="10"/>
                <c:pt idx="0">
                  <c:v>0</c:v>
                </c:pt>
                <c:pt idx="1">
                  <c:v>9</c:v>
                </c:pt>
                <c:pt idx="3">
                  <c:v>36</c:v>
                </c:pt>
                <c:pt idx="4">
                  <c:v>63</c:v>
                </c:pt>
                <c:pt idx="5">
                  <c:v>85</c:v>
                </c:pt>
                <c:pt idx="6">
                  <c:v>115</c:v>
                </c:pt>
                <c:pt idx="7">
                  <c:v>146</c:v>
                </c:pt>
                <c:pt idx="8">
                  <c:v>193</c:v>
                </c:pt>
                <c:pt idx="9">
                  <c:v>246</c:v>
                </c:pt>
              </c:numCache>
            </c:numRef>
          </c:xVal>
          <c:yVal>
            <c:numRef>
              <c:f>'H2 uptake rates'!$J$17:$J$26</c:f>
              <c:numCache>
                <c:formatCode>0.000</c:formatCode>
                <c:ptCount val="10"/>
                <c:pt idx="0">
                  <c:v>0.41749749228575955</c:v>
                </c:pt>
                <c:pt idx="1">
                  <c:v>0.46113726935193178</c:v>
                </c:pt>
                <c:pt idx="3">
                  <c:v>0.38092727946967747</c:v>
                </c:pt>
                <c:pt idx="4">
                  <c:v>0.31359819093861535</c:v>
                </c:pt>
                <c:pt idx="5">
                  <c:v>0.26059338142174621</c:v>
                </c:pt>
                <c:pt idx="6">
                  <c:v>0.22701942154747934</c:v>
                </c:pt>
                <c:pt idx="7">
                  <c:v>0.19202000180189041</c:v>
                </c:pt>
                <c:pt idx="8">
                  <c:v>0.16110583855902894</c:v>
                </c:pt>
                <c:pt idx="9">
                  <c:v>6.6866217792407923E-2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84-7944-9EFC-2A0FD1828C96}"/>
            </c:ext>
          </c:extLst>
        </c:ser>
        <c:ser>
          <c:idx val="2"/>
          <c:order val="2"/>
          <c:tx>
            <c:v>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exp"/>
            <c:intercept val="0.42799999999999999"/>
            <c:dispRSqr val="1"/>
            <c:dispEq val="1"/>
            <c:trendlineLbl>
              <c:layout>
                <c:manualLayout>
                  <c:x val="-0.40467209418959127"/>
                  <c:y val="-3.625762841036332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6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600" baseline="0"/>
                      <a:t>3:</a:t>
                    </a:r>
                    <a:r>
                      <a:rPr lang="zh-CN" altLang="en-US" sz="1600" baseline="0"/>
                      <a:t> </a:t>
                    </a:r>
                    <a:r>
                      <a:rPr lang="en-US" sz="1600" baseline="0"/>
                      <a:t>y = 0.42800e</a:t>
                    </a:r>
                    <a:r>
                      <a:rPr lang="en-US" sz="1600" baseline="30000"/>
                      <a:t>-0.00530x</a:t>
                    </a:r>
                    <a:br>
                      <a:rPr lang="en-US" sz="1600" baseline="0"/>
                    </a:br>
                    <a:r>
                      <a:rPr lang="en-US" sz="1600" baseline="0"/>
                      <a:t>R² = 0.90206</a:t>
                    </a:r>
                    <a:endParaRPr lang="en-US" sz="1600"/>
                  </a:p>
                </c:rich>
              </c:tx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'H2 uptake rates'!$E$30:$E$39</c:f>
              <c:numCache>
                <c:formatCode>0</c:formatCode>
                <c:ptCount val="10"/>
                <c:pt idx="0">
                  <c:v>0</c:v>
                </c:pt>
                <c:pt idx="1">
                  <c:v>10</c:v>
                </c:pt>
                <c:pt idx="3">
                  <c:v>35</c:v>
                </c:pt>
                <c:pt idx="4">
                  <c:v>61</c:v>
                </c:pt>
                <c:pt idx="5">
                  <c:v>83</c:v>
                </c:pt>
                <c:pt idx="6">
                  <c:v>113</c:v>
                </c:pt>
                <c:pt idx="7">
                  <c:v>144</c:v>
                </c:pt>
                <c:pt idx="8">
                  <c:v>191</c:v>
                </c:pt>
                <c:pt idx="9">
                  <c:v>244</c:v>
                </c:pt>
              </c:numCache>
            </c:numRef>
          </c:xVal>
          <c:yVal>
            <c:numRef>
              <c:f>'H2 uptake rates'!$J$30:$J$39</c:f>
              <c:numCache>
                <c:formatCode>0.000</c:formatCode>
                <c:ptCount val="10"/>
                <c:pt idx="0">
                  <c:v>0.45519453511185315</c:v>
                </c:pt>
                <c:pt idx="1">
                  <c:v>0.37171554368111998</c:v>
                </c:pt>
                <c:pt idx="3">
                  <c:v>0.34078943524380612</c:v>
                </c:pt>
                <c:pt idx="4">
                  <c:v>0.30851551069911087</c:v>
                </c:pt>
                <c:pt idx="5">
                  <c:v>0.23859431497187378</c:v>
                </c:pt>
                <c:pt idx="6">
                  <c:v>0.22498873849056805</c:v>
                </c:pt>
                <c:pt idx="7">
                  <c:v>0.17657287450917003</c:v>
                </c:pt>
                <c:pt idx="8">
                  <c:v>0.13296495129487082</c:v>
                </c:pt>
                <c:pt idx="9">
                  <c:v>5.6694884716172782E-2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A84-7944-9EFC-2A0FD1828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3803023"/>
        <c:axId val="720799392"/>
      </c:scatterChart>
      <c:valAx>
        <c:axId val="1653803023"/>
        <c:scaling>
          <c:orientation val="minMax"/>
          <c:max val="2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Time</a:t>
                </a:r>
                <a:r>
                  <a:rPr lang="zh-CN" altLang="en-US" sz="1800"/>
                  <a:t> </a:t>
                </a:r>
                <a:r>
                  <a:rPr lang="en-US" altLang="zh-CN" sz="1800"/>
                  <a:t>(min)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799392"/>
        <c:crosses val="autoZero"/>
        <c:crossBetween val="midCat"/>
      </c:valAx>
      <c:valAx>
        <c:axId val="7207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H</a:t>
                </a:r>
                <a:r>
                  <a:rPr lang="en-US" altLang="zh-CN" sz="1800" baseline="-25000"/>
                  <a:t>2</a:t>
                </a:r>
                <a:r>
                  <a:rPr lang="zh-CN" altLang="en-US" sz="1800"/>
                  <a:t> </a:t>
                </a:r>
                <a:r>
                  <a:rPr lang="en-US" altLang="zh-CN" sz="1800"/>
                  <a:t>Concentration</a:t>
                </a:r>
                <a:r>
                  <a:rPr lang="zh-CN" altLang="en-US" sz="1800"/>
                  <a:t> </a:t>
                </a:r>
                <a:r>
                  <a:rPr lang="en-US" altLang="zh-CN" sz="1800"/>
                  <a:t>(ppm)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803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FGF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bw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℃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"20%"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</a:t>
            </a:r>
            <a:r>
              <a:rPr lang="en-US" altLang="zh-CN" sz="20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Uptake</a:t>
            </a:r>
            <a:endParaRPr lang="en-US" sz="2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35156124193675"/>
          <c:y val="0.11065503555421641"/>
          <c:w val="0.80150810617243051"/>
          <c:h val="0.7111382829412185"/>
        </c:manualLayout>
      </c:layout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intercept val="0.436"/>
            <c:dispRSqr val="1"/>
            <c:dispEq val="1"/>
            <c:trendlineLbl>
              <c:layout>
                <c:manualLayout>
                  <c:x val="-0.57830909019842558"/>
                  <c:y val="-0.48726081567976165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'H2 uptake rates'!$E$201:$E$212</c:f>
              <c:numCache>
                <c:formatCode>0</c:formatCode>
                <c:ptCount val="12"/>
                <c:pt idx="0">
                  <c:v>0</c:v>
                </c:pt>
                <c:pt idx="1">
                  <c:v>9</c:v>
                </c:pt>
                <c:pt idx="2">
                  <c:v>16</c:v>
                </c:pt>
                <c:pt idx="3">
                  <c:v>25</c:v>
                </c:pt>
                <c:pt idx="4">
                  <c:v>53</c:v>
                </c:pt>
                <c:pt idx="5">
                  <c:v>74</c:v>
                </c:pt>
                <c:pt idx="6">
                  <c:v>98</c:v>
                </c:pt>
                <c:pt idx="7">
                  <c:v>137</c:v>
                </c:pt>
                <c:pt idx="8">
                  <c:v>173</c:v>
                </c:pt>
                <c:pt idx="9">
                  <c:v>222</c:v>
                </c:pt>
                <c:pt idx="10">
                  <c:v>271</c:v>
                </c:pt>
                <c:pt idx="11">
                  <c:v>322</c:v>
                </c:pt>
              </c:numCache>
            </c:numRef>
          </c:xVal>
          <c:yVal>
            <c:numRef>
              <c:f>'H2 uptake rates'!$J$201:$J$212</c:f>
              <c:numCache>
                <c:formatCode>0.000</c:formatCode>
                <c:ptCount val="12"/>
                <c:pt idx="0">
                  <c:v>0.43069494128994096</c:v>
                </c:pt>
                <c:pt idx="1">
                  <c:v>0.39779787576797782</c:v>
                </c:pt>
                <c:pt idx="2">
                  <c:v>0.39539888254878358</c:v>
                </c:pt>
                <c:pt idx="3">
                  <c:v>0.40625905517177491</c:v>
                </c:pt>
                <c:pt idx="4">
                  <c:v>0.42702975745879024</c:v>
                </c:pt>
                <c:pt idx="5">
                  <c:v>0.36129535238712612</c:v>
                </c:pt>
                <c:pt idx="6">
                  <c:v>0.22776400533501351</c:v>
                </c:pt>
                <c:pt idx="7">
                  <c:v>0.2348753777656872</c:v>
                </c:pt>
                <c:pt idx="8">
                  <c:v>0.1762384090645023</c:v>
                </c:pt>
                <c:pt idx="9">
                  <c:v>0.19550003511902861</c:v>
                </c:pt>
                <c:pt idx="10">
                  <c:v>0.15008838754241408</c:v>
                </c:pt>
                <c:pt idx="11">
                  <c:v>7.0151146266823269E-2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71-B64B-AE09-D19B496FF573}"/>
            </c:ext>
          </c:extLst>
        </c:ser>
        <c:ser>
          <c:idx val="1"/>
          <c:order val="1"/>
          <c:tx>
            <c:v>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intercept val="0.45800000000000002"/>
            <c:dispRSqr val="1"/>
            <c:dispEq val="1"/>
            <c:trendlineLbl>
              <c:layout>
                <c:manualLayout>
                  <c:x val="-0.45792398085691932"/>
                  <c:y val="-0.30866747217647816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'H2 uptake rates'!$E$214:$E$225</c:f>
              <c:numCache>
                <c:formatCode>0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21</c:v>
                </c:pt>
                <c:pt idx="4">
                  <c:v>49</c:v>
                </c:pt>
                <c:pt idx="5">
                  <c:v>72</c:v>
                </c:pt>
                <c:pt idx="6">
                  <c:v>94</c:v>
                </c:pt>
                <c:pt idx="7">
                  <c:v>134</c:v>
                </c:pt>
                <c:pt idx="8">
                  <c:v>170</c:v>
                </c:pt>
                <c:pt idx="9">
                  <c:v>219</c:v>
                </c:pt>
                <c:pt idx="10">
                  <c:v>319</c:v>
                </c:pt>
                <c:pt idx="11">
                  <c:v>329</c:v>
                </c:pt>
              </c:numCache>
            </c:numRef>
          </c:xVal>
          <c:yVal>
            <c:numRef>
              <c:f>'H2 uptake rates'!$J$214:$J$225</c:f>
              <c:numCache>
                <c:formatCode>0.000</c:formatCode>
                <c:ptCount val="12"/>
                <c:pt idx="0">
                  <c:v>0.45328529486520813</c:v>
                </c:pt>
                <c:pt idx="1">
                  <c:v>0.40651985858398609</c:v>
                </c:pt>
                <c:pt idx="2">
                  <c:v>0.38901218524822334</c:v>
                </c:pt>
                <c:pt idx="3">
                  <c:v>0.40875759167807263</c:v>
                </c:pt>
                <c:pt idx="4">
                  <c:v>0.36898208501725799</c:v>
                </c:pt>
                <c:pt idx="5">
                  <c:v>0.34193816477698041</c:v>
                </c:pt>
                <c:pt idx="6">
                  <c:v>0.25901661575402685</c:v>
                </c:pt>
                <c:pt idx="7">
                  <c:v>0.2572905351556522</c:v>
                </c:pt>
                <c:pt idx="8">
                  <c:v>0.24892093557599032</c:v>
                </c:pt>
                <c:pt idx="9">
                  <c:v>0.19416615507184179</c:v>
                </c:pt>
                <c:pt idx="10">
                  <c:v>0.22158634893737056</c:v>
                </c:pt>
                <c:pt idx="11">
                  <c:v>0.21401309565453666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71-B64B-AE09-D19B496FF573}"/>
            </c:ext>
          </c:extLst>
        </c:ser>
        <c:ser>
          <c:idx val="2"/>
          <c:order val="2"/>
          <c:tx>
            <c:v>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exp"/>
            <c:intercept val="0.47899999999999998"/>
            <c:dispRSqr val="1"/>
            <c:dispEq val="1"/>
            <c:trendlineLbl>
              <c:layout>
                <c:manualLayout>
                  <c:x val="-0.2850328491469426"/>
                  <c:y val="-0.27625674303459491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'H2 uptake rates'!$E$227:$E$238</c:f>
              <c:numCache>
                <c:formatCode>0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11</c:v>
                </c:pt>
                <c:pt idx="3">
                  <c:v>19</c:v>
                </c:pt>
                <c:pt idx="4">
                  <c:v>47</c:v>
                </c:pt>
                <c:pt idx="5">
                  <c:v>70</c:v>
                </c:pt>
                <c:pt idx="6">
                  <c:v>110</c:v>
                </c:pt>
                <c:pt idx="7">
                  <c:v>138</c:v>
                </c:pt>
                <c:pt idx="8">
                  <c:v>168</c:v>
                </c:pt>
                <c:pt idx="9">
                  <c:v>217</c:v>
                </c:pt>
                <c:pt idx="10">
                  <c:v>266</c:v>
                </c:pt>
                <c:pt idx="11">
                  <c:v>323</c:v>
                </c:pt>
              </c:numCache>
            </c:numRef>
          </c:xVal>
          <c:yVal>
            <c:numRef>
              <c:f>'H2 uptake rates'!$J$227:$J$238</c:f>
              <c:numCache>
                <c:formatCode>0.000</c:formatCode>
                <c:ptCount val="12"/>
                <c:pt idx="0">
                  <c:v>0.47419734861991036</c:v>
                </c:pt>
                <c:pt idx="1">
                  <c:v>0.43865442252673637</c:v>
                </c:pt>
                <c:pt idx="2">
                  <c:v>0.41332264682463893</c:v>
                </c:pt>
                <c:pt idx="3">
                  <c:v>0.41432803402438417</c:v>
                </c:pt>
                <c:pt idx="4">
                  <c:v>0.39442933093239552</c:v>
                </c:pt>
                <c:pt idx="5">
                  <c:v>0.32848986668929819</c:v>
                </c:pt>
                <c:pt idx="6">
                  <c:v>0.29467700292598292</c:v>
                </c:pt>
                <c:pt idx="7">
                  <c:v>0.2665002800784676</c:v>
                </c:pt>
                <c:pt idx="8">
                  <c:v>0.22094130843693993</c:v>
                </c:pt>
                <c:pt idx="9">
                  <c:v>0.19764220665749585</c:v>
                </c:pt>
                <c:pt idx="10">
                  <c:v>0.20169361844260808</c:v>
                </c:pt>
                <c:pt idx="11">
                  <c:v>0.12069126399500987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71-B64B-AE09-D19B496FF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3803023"/>
        <c:axId val="720799392"/>
      </c:scatterChart>
      <c:valAx>
        <c:axId val="1653803023"/>
        <c:scaling>
          <c:orientation val="minMax"/>
          <c:max val="3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Time</a:t>
                </a:r>
                <a:r>
                  <a:rPr lang="zh-CN" altLang="en-US" sz="1800"/>
                  <a:t> </a:t>
                </a:r>
                <a:r>
                  <a:rPr lang="en-US" altLang="zh-CN" sz="1800"/>
                  <a:t>(min)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799392"/>
        <c:crosses val="autoZero"/>
        <c:crossBetween val="midCat"/>
      </c:valAx>
      <c:valAx>
        <c:axId val="7207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H</a:t>
                </a:r>
                <a:r>
                  <a:rPr lang="en-US" altLang="zh-CN" sz="1800" baseline="-25000"/>
                  <a:t>2</a:t>
                </a:r>
                <a:r>
                  <a:rPr lang="zh-CN" altLang="en-US" sz="1800"/>
                  <a:t> </a:t>
                </a:r>
                <a:r>
                  <a:rPr lang="en-US" altLang="zh-CN" sz="1800"/>
                  <a:t>Concentration</a:t>
                </a:r>
                <a:r>
                  <a:rPr lang="zh-CN" altLang="en-US" sz="1800"/>
                  <a:t> </a:t>
                </a:r>
                <a:r>
                  <a:rPr lang="en-US" altLang="zh-CN" sz="1800"/>
                  <a:t>(ppm)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803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 of Linearization Validity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51771471243391"/>
          <c:y val="0.11067081673333026"/>
          <c:w val="0.75923028985787266"/>
          <c:h val="0.73049364033220576"/>
        </c:manualLayout>
      </c:layout>
      <c:scatterChart>
        <c:scatterStyle val="lineMarker"/>
        <c:varyColors val="0"/>
        <c:ser>
          <c:idx val="0"/>
          <c:order val="0"/>
          <c:tx>
            <c:v>Linearization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244841533250658"/>
                  <c:y val="-5.0302174172629006E-2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'H2 uptake rates'!$E$4:$E$13</c:f>
              <c:numCache>
                <c:formatCode>0</c:formatCode>
                <c:ptCount val="10"/>
                <c:pt idx="0">
                  <c:v>0</c:v>
                </c:pt>
                <c:pt idx="1">
                  <c:v>9</c:v>
                </c:pt>
                <c:pt idx="2">
                  <c:v>23</c:v>
                </c:pt>
                <c:pt idx="3">
                  <c:v>37</c:v>
                </c:pt>
                <c:pt idx="4">
                  <c:v>64</c:v>
                </c:pt>
                <c:pt idx="5">
                  <c:v>86</c:v>
                </c:pt>
                <c:pt idx="6">
                  <c:v>116</c:v>
                </c:pt>
                <c:pt idx="7">
                  <c:v>147</c:v>
                </c:pt>
                <c:pt idx="8">
                  <c:v>194</c:v>
                </c:pt>
                <c:pt idx="9">
                  <c:v>248</c:v>
                </c:pt>
              </c:numCache>
            </c:numRef>
          </c:xVal>
          <c:yVal>
            <c:numRef>
              <c:f>'H2 uptake rates'!$N$4:$N$13</c:f>
              <c:numCache>
                <c:formatCode>0.000</c:formatCode>
                <c:ptCount val="10"/>
                <c:pt idx="0">
                  <c:v>0</c:v>
                </c:pt>
                <c:pt idx="1">
                  <c:v>-0.22270686286446828</c:v>
                </c:pt>
                <c:pt idx="2">
                  <c:v>-0.13557060792961551</c:v>
                </c:pt>
                <c:pt idx="3">
                  <c:v>-0.32143965790729334</c:v>
                </c:pt>
                <c:pt idx="4">
                  <c:v>-0.55028892386079098</c:v>
                </c:pt>
                <c:pt idx="5">
                  <c:v>-0.90856989950591804</c:v>
                </c:pt>
                <c:pt idx="6">
                  <c:v>-0.95685453128765119</c:v>
                </c:pt>
                <c:pt idx="7">
                  <c:v>-0.98749118305836336</c:v>
                </c:pt>
                <c:pt idx="8">
                  <c:v>-1.3796148116875817</c:v>
                </c:pt>
                <c:pt idx="9">
                  <c:v>-1.8724586493064606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F6-4C0C-AD54-AACB9C11BA37}"/>
            </c:ext>
          </c:extLst>
        </c:ser>
        <c:ser>
          <c:idx val="1"/>
          <c:order val="1"/>
          <c:tx>
            <c:v>Baselined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1904461942257218"/>
                  <c:y val="-0.18355169145523476"/>
                </c:manualLayout>
              </c:layout>
              <c:numFmt formatCode="#,##0.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'H2 uptake rates'!$E$4:$E$13</c:f>
              <c:numCache>
                <c:formatCode>0</c:formatCode>
                <c:ptCount val="10"/>
                <c:pt idx="0">
                  <c:v>0</c:v>
                </c:pt>
                <c:pt idx="1">
                  <c:v>9</c:v>
                </c:pt>
                <c:pt idx="2">
                  <c:v>23</c:v>
                </c:pt>
                <c:pt idx="3">
                  <c:v>37</c:v>
                </c:pt>
                <c:pt idx="4">
                  <c:v>64</c:v>
                </c:pt>
                <c:pt idx="5">
                  <c:v>86</c:v>
                </c:pt>
                <c:pt idx="6">
                  <c:v>116</c:v>
                </c:pt>
                <c:pt idx="7">
                  <c:v>147</c:v>
                </c:pt>
                <c:pt idx="8">
                  <c:v>194</c:v>
                </c:pt>
                <c:pt idx="9">
                  <c:v>248</c:v>
                </c:pt>
              </c:numCache>
            </c:numRef>
          </c:xVal>
          <c:yVal>
            <c:numRef>
              <c:f>'H2 uptake rates'!$N$4:$N$13</c:f>
              <c:numCache>
                <c:formatCode>0.000</c:formatCode>
                <c:ptCount val="10"/>
                <c:pt idx="0">
                  <c:v>0</c:v>
                </c:pt>
                <c:pt idx="1">
                  <c:v>-0.22270686286446828</c:v>
                </c:pt>
                <c:pt idx="2">
                  <c:v>-0.13557060792961551</c:v>
                </c:pt>
                <c:pt idx="3">
                  <c:v>-0.32143965790729334</c:v>
                </c:pt>
                <c:pt idx="4">
                  <c:v>-0.55028892386079098</c:v>
                </c:pt>
                <c:pt idx="5">
                  <c:v>-0.90856989950591804</c:v>
                </c:pt>
                <c:pt idx="6">
                  <c:v>-0.95685453128765119</c:v>
                </c:pt>
                <c:pt idx="7">
                  <c:v>-0.98749118305836336</c:v>
                </c:pt>
                <c:pt idx="8">
                  <c:v>-1.3796148116875817</c:v>
                </c:pt>
                <c:pt idx="9">
                  <c:v>-1.8724586493064606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F6-4C0C-AD54-AACB9C11BA37}"/>
            </c:ext>
          </c:extLst>
        </c:ser>
        <c:ser>
          <c:idx val="2"/>
          <c:order val="2"/>
          <c:tx>
            <c:v>Raw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intercept val="0.55010000000000003"/>
            <c:dispRSqr val="1"/>
            <c:dispEq val="1"/>
            <c:trendlineLbl>
              <c:layout>
                <c:manualLayout>
                  <c:x val="-0.20366581970737496"/>
                  <c:y val="-0.11020217082494986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8.3965878423627446E-2"/>
                  <c:y val="-8.583396618527743E-2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'H2 uptake rates'!$E$4:$E$13</c:f>
              <c:numCache>
                <c:formatCode>0</c:formatCode>
                <c:ptCount val="10"/>
                <c:pt idx="0">
                  <c:v>0</c:v>
                </c:pt>
                <c:pt idx="1">
                  <c:v>9</c:v>
                </c:pt>
                <c:pt idx="2">
                  <c:v>23</c:v>
                </c:pt>
                <c:pt idx="3">
                  <c:v>37</c:v>
                </c:pt>
                <c:pt idx="4">
                  <c:v>64</c:v>
                </c:pt>
                <c:pt idx="5">
                  <c:v>86</c:v>
                </c:pt>
                <c:pt idx="6">
                  <c:v>116</c:v>
                </c:pt>
                <c:pt idx="7">
                  <c:v>147</c:v>
                </c:pt>
                <c:pt idx="8">
                  <c:v>194</c:v>
                </c:pt>
                <c:pt idx="9">
                  <c:v>248</c:v>
                </c:pt>
              </c:numCache>
            </c:numRef>
          </c:xVal>
          <c:yVal>
            <c:numRef>
              <c:f>'H2 uptake rates'!$J$4:$J$13</c:f>
              <c:numCache>
                <c:formatCode>0.000</c:formatCode>
                <c:ptCount val="10"/>
                <c:pt idx="0" formatCode="0.0000">
                  <c:v>0.54525532868586946</c:v>
                </c:pt>
                <c:pt idx="1">
                  <c:v>0.43639478990948705</c:v>
                </c:pt>
                <c:pt idx="2">
                  <c:v>0.47612649752397618</c:v>
                </c:pt>
                <c:pt idx="3">
                  <c:v>0.39536702869691048</c:v>
                </c:pt>
                <c:pt idx="4">
                  <c:v>0.31449408052254679</c:v>
                </c:pt>
                <c:pt idx="5">
                  <c:v>0.21979257890376561</c:v>
                </c:pt>
                <c:pt idx="6">
                  <c:v>0.20943211358203381</c:v>
                </c:pt>
                <c:pt idx="7">
                  <c:v>0.20311310571670393</c:v>
                </c:pt>
                <c:pt idx="8">
                  <c:v>0.13722739484864249</c:v>
                </c:pt>
                <c:pt idx="9">
                  <c:v>8.383038478058559E-2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EF6-4C0C-AD54-AACB9C11BA37}"/>
            </c:ext>
          </c:extLst>
        </c:ser>
        <c:ser>
          <c:idx val="3"/>
          <c:order val="3"/>
          <c:tx>
            <c:v>Abbreviated Linearized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2503527158948161E-2"/>
                  <c:y val="0.160977236827293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'H2 uptake rates'!$E$4:$E$13</c:f>
              <c:numCache>
                <c:formatCode>0</c:formatCode>
                <c:ptCount val="10"/>
                <c:pt idx="0">
                  <c:v>0</c:v>
                </c:pt>
                <c:pt idx="1">
                  <c:v>9</c:v>
                </c:pt>
                <c:pt idx="2">
                  <c:v>23</c:v>
                </c:pt>
                <c:pt idx="3">
                  <c:v>37</c:v>
                </c:pt>
                <c:pt idx="4">
                  <c:v>64</c:v>
                </c:pt>
                <c:pt idx="5">
                  <c:v>86</c:v>
                </c:pt>
                <c:pt idx="6">
                  <c:v>116</c:v>
                </c:pt>
                <c:pt idx="7">
                  <c:v>147</c:v>
                </c:pt>
                <c:pt idx="8">
                  <c:v>194</c:v>
                </c:pt>
                <c:pt idx="9">
                  <c:v>248</c:v>
                </c:pt>
              </c:numCache>
            </c:numRef>
          </c:xVal>
          <c:yVal>
            <c:numRef>
              <c:f>'H2 uptake rates'!$N$4:$N$10</c:f>
              <c:numCache>
                <c:formatCode>0.000</c:formatCode>
                <c:ptCount val="7"/>
                <c:pt idx="0">
                  <c:v>0</c:v>
                </c:pt>
                <c:pt idx="1">
                  <c:v>-0.22270686286446828</c:v>
                </c:pt>
                <c:pt idx="2">
                  <c:v>-0.13557060792961551</c:v>
                </c:pt>
                <c:pt idx="3">
                  <c:v>-0.32143965790729334</c:v>
                </c:pt>
                <c:pt idx="4">
                  <c:v>-0.55028892386079098</c:v>
                </c:pt>
                <c:pt idx="5">
                  <c:v>-0.90856989950591804</c:v>
                </c:pt>
                <c:pt idx="6">
                  <c:v>-0.95685453128765119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5D-496F-A4A8-B72484010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952303"/>
        <c:axId val="1550951343"/>
      </c:scatterChart>
      <c:valAx>
        <c:axId val="1550952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51343"/>
        <c:crosses val="autoZero"/>
        <c:crossBetween val="midCat"/>
      </c:valAx>
      <c:valAx>
        <c:axId val="155095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52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8"/>
        <c:delete val="1"/>
      </c:legendEntry>
      <c:layout>
        <c:manualLayout>
          <c:xMode val="edge"/>
          <c:yMode val="edge"/>
          <c:x val="0.11544585017389918"/>
          <c:y val="0.8719504817626611"/>
          <c:w val="0.76635770798559355"/>
          <c:h val="0.12804966768980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 of Linearization Validity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51224281348109"/>
          <c:y val="0.11067084590580156"/>
          <c:w val="0.75923028985787266"/>
          <c:h val="0.73049364033220576"/>
        </c:manualLayout>
      </c:layout>
      <c:scatterChart>
        <c:scatterStyle val="lineMarker"/>
        <c:varyColors val="0"/>
        <c:ser>
          <c:idx val="0"/>
          <c:order val="0"/>
          <c:tx>
            <c:v>Linearization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244841533250658"/>
                  <c:y val="-5.0302174172629006E-2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'H2 uptake rates'!$E$4:$E$13</c:f>
              <c:numCache>
                <c:formatCode>0</c:formatCode>
                <c:ptCount val="10"/>
                <c:pt idx="0">
                  <c:v>0</c:v>
                </c:pt>
                <c:pt idx="1">
                  <c:v>9</c:v>
                </c:pt>
                <c:pt idx="2">
                  <c:v>23</c:v>
                </c:pt>
                <c:pt idx="3">
                  <c:v>37</c:v>
                </c:pt>
                <c:pt idx="4">
                  <c:v>64</c:v>
                </c:pt>
                <c:pt idx="5">
                  <c:v>86</c:v>
                </c:pt>
                <c:pt idx="6">
                  <c:v>116</c:v>
                </c:pt>
                <c:pt idx="7">
                  <c:v>147</c:v>
                </c:pt>
                <c:pt idx="8">
                  <c:v>194</c:v>
                </c:pt>
                <c:pt idx="9">
                  <c:v>248</c:v>
                </c:pt>
              </c:numCache>
            </c:numRef>
          </c:xVal>
          <c:yVal>
            <c:numRef>
              <c:f>'H2 uptake rates'!$L$4:$L$13</c:f>
              <c:numCache>
                <c:formatCode>0.000</c:formatCode>
                <c:ptCount val="10"/>
                <c:pt idx="0">
                  <c:v>-0.60650110102588017</c:v>
                </c:pt>
                <c:pt idx="1">
                  <c:v>-0.82920796389034845</c:v>
                </c:pt>
                <c:pt idx="2">
                  <c:v>-0.74207170895549568</c:v>
                </c:pt>
                <c:pt idx="3">
                  <c:v>-0.92794075893317352</c:v>
                </c:pt>
                <c:pt idx="4">
                  <c:v>-1.1567900248866712</c:v>
                </c:pt>
                <c:pt idx="5">
                  <c:v>-1.5150710005317982</c:v>
                </c:pt>
                <c:pt idx="6">
                  <c:v>-1.5633556323135314</c:v>
                </c:pt>
                <c:pt idx="7">
                  <c:v>-1.5939922840842435</c:v>
                </c:pt>
                <c:pt idx="8">
                  <c:v>-1.986115912713462</c:v>
                </c:pt>
                <c:pt idx="9">
                  <c:v>-2.4789597503323408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2C-4AAD-AA67-67ACCE677B46}"/>
            </c:ext>
          </c:extLst>
        </c:ser>
        <c:ser>
          <c:idx val="1"/>
          <c:order val="1"/>
          <c:tx>
            <c:v>Baselined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1904461942257218"/>
                  <c:y val="-0.18355169145523476"/>
                </c:manualLayout>
              </c:layout>
              <c:numFmt formatCode="#,##0.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'H2 uptake rates'!$E$4:$E$13</c:f>
              <c:numCache>
                <c:formatCode>0</c:formatCode>
                <c:ptCount val="10"/>
                <c:pt idx="0">
                  <c:v>0</c:v>
                </c:pt>
                <c:pt idx="1">
                  <c:v>9</c:v>
                </c:pt>
                <c:pt idx="2">
                  <c:v>23</c:v>
                </c:pt>
                <c:pt idx="3">
                  <c:v>37</c:v>
                </c:pt>
                <c:pt idx="4">
                  <c:v>64</c:v>
                </c:pt>
                <c:pt idx="5">
                  <c:v>86</c:v>
                </c:pt>
                <c:pt idx="6">
                  <c:v>116</c:v>
                </c:pt>
                <c:pt idx="7">
                  <c:v>147</c:v>
                </c:pt>
                <c:pt idx="8">
                  <c:v>194</c:v>
                </c:pt>
                <c:pt idx="9">
                  <c:v>248</c:v>
                </c:pt>
              </c:numCache>
            </c:numRef>
          </c:xVal>
          <c:yVal>
            <c:numRef>
              <c:f>'H2 uptake rates'!$N$4:$N$13</c:f>
              <c:numCache>
                <c:formatCode>0.000</c:formatCode>
                <c:ptCount val="10"/>
                <c:pt idx="0">
                  <c:v>0</c:v>
                </c:pt>
                <c:pt idx="1">
                  <c:v>-0.22270686286446828</c:v>
                </c:pt>
                <c:pt idx="2">
                  <c:v>-0.13557060792961551</c:v>
                </c:pt>
                <c:pt idx="3">
                  <c:v>-0.32143965790729334</c:v>
                </c:pt>
                <c:pt idx="4">
                  <c:v>-0.55028892386079098</c:v>
                </c:pt>
                <c:pt idx="5">
                  <c:v>-0.90856989950591804</c:v>
                </c:pt>
                <c:pt idx="6">
                  <c:v>-0.95685453128765119</c:v>
                </c:pt>
                <c:pt idx="7">
                  <c:v>-0.98749118305836336</c:v>
                </c:pt>
                <c:pt idx="8">
                  <c:v>-1.3796148116875817</c:v>
                </c:pt>
                <c:pt idx="9">
                  <c:v>-1.8724586493064606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2C-4AAD-AA67-67ACCE677B46}"/>
            </c:ext>
          </c:extLst>
        </c:ser>
        <c:ser>
          <c:idx val="2"/>
          <c:order val="2"/>
          <c:tx>
            <c:v>Raw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intercept val="0.55010000000000003"/>
            <c:dispRSqr val="1"/>
            <c:dispEq val="1"/>
            <c:trendlineLbl>
              <c:layout>
                <c:manualLayout>
                  <c:x val="-0.17019125484950626"/>
                  <c:y val="-0.40009835099888547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8.2416143851498952E-2"/>
                  <c:y val="-0.27981144634356159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'H2 uptake rates'!$E$4:$E$13</c:f>
              <c:numCache>
                <c:formatCode>0</c:formatCode>
                <c:ptCount val="10"/>
                <c:pt idx="0">
                  <c:v>0</c:v>
                </c:pt>
                <c:pt idx="1">
                  <c:v>9</c:v>
                </c:pt>
                <c:pt idx="2">
                  <c:v>23</c:v>
                </c:pt>
                <c:pt idx="3">
                  <c:v>37</c:v>
                </c:pt>
                <c:pt idx="4">
                  <c:v>64</c:v>
                </c:pt>
                <c:pt idx="5">
                  <c:v>86</c:v>
                </c:pt>
                <c:pt idx="6">
                  <c:v>116</c:v>
                </c:pt>
                <c:pt idx="7">
                  <c:v>147</c:v>
                </c:pt>
                <c:pt idx="8">
                  <c:v>194</c:v>
                </c:pt>
                <c:pt idx="9">
                  <c:v>248</c:v>
                </c:pt>
              </c:numCache>
            </c:numRef>
          </c:xVal>
          <c:yVal>
            <c:numRef>
              <c:f>'H2 uptake rates'!$J$4:$J$13</c:f>
              <c:numCache>
                <c:formatCode>0.000</c:formatCode>
                <c:ptCount val="10"/>
                <c:pt idx="0" formatCode="0.0000">
                  <c:v>0.54525532868586946</c:v>
                </c:pt>
                <c:pt idx="1">
                  <c:v>0.43639478990948705</c:v>
                </c:pt>
                <c:pt idx="2">
                  <c:v>0.47612649752397618</c:v>
                </c:pt>
                <c:pt idx="3">
                  <c:v>0.39536702869691048</c:v>
                </c:pt>
                <c:pt idx="4">
                  <c:v>0.31449408052254679</c:v>
                </c:pt>
                <c:pt idx="5">
                  <c:v>0.21979257890376561</c:v>
                </c:pt>
                <c:pt idx="6">
                  <c:v>0.20943211358203381</c:v>
                </c:pt>
                <c:pt idx="7">
                  <c:v>0.20311310571670393</c:v>
                </c:pt>
                <c:pt idx="8">
                  <c:v>0.13722739484864249</c:v>
                </c:pt>
                <c:pt idx="9">
                  <c:v>8.383038478058559E-2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32C-4AAD-AA67-67ACCE677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952303"/>
        <c:axId val="1550951343"/>
      </c:scatterChart>
      <c:valAx>
        <c:axId val="1550952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51343"/>
        <c:crosses val="autoZero"/>
        <c:crossBetween val="midCat"/>
      </c:valAx>
      <c:valAx>
        <c:axId val="15509513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52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544585017389918"/>
          <c:y val="0.8719504817626611"/>
          <c:w val="0.76551048338502947"/>
          <c:h val="0.107963443343693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FGF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asparagus 22</a:t>
            </a: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℃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"20%"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</a:t>
            </a:r>
            <a:r>
              <a:rPr lang="en-US" altLang="zh-CN" sz="20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zh-CN" alt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altLang="zh-CN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Uptake</a:t>
            </a:r>
            <a:endParaRPr lang="en-US" sz="2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35156124193675"/>
          <c:y val="0.11065503555421641"/>
          <c:w val="0.80150810617243051"/>
          <c:h val="0.7111382829412185"/>
        </c:manualLayout>
      </c:layout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'H2 uptake rates'!$E$241:$E$249</c:f>
              <c:numCache>
                <c:formatCode>0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22</c:v>
                </c:pt>
                <c:pt idx="3">
                  <c:v>43</c:v>
                </c:pt>
                <c:pt idx="4">
                  <c:v>66</c:v>
                </c:pt>
                <c:pt idx="5">
                  <c:v>100</c:v>
                </c:pt>
                <c:pt idx="6">
                  <c:v>134</c:v>
                </c:pt>
                <c:pt idx="7">
                  <c:v>165</c:v>
                </c:pt>
                <c:pt idx="8">
                  <c:v>206</c:v>
                </c:pt>
              </c:numCache>
            </c:numRef>
          </c:xVal>
          <c:yVal>
            <c:numRef>
              <c:f>'H2 uptake rates'!$J$241:$J$249</c:f>
              <c:numCache>
                <c:formatCode>0.000</c:formatCode>
                <c:ptCount val="9"/>
                <c:pt idx="0">
                  <c:v>0.39721654297129338</c:v>
                </c:pt>
                <c:pt idx="1">
                  <c:v>0.36892434991073803</c:v>
                </c:pt>
                <c:pt idx="2">
                  <c:v>0.37177526965338209</c:v>
                </c:pt>
                <c:pt idx="3">
                  <c:v>0.34077549918361161</c:v>
                </c:pt>
                <c:pt idx="4">
                  <c:v>0.26602844489759708</c:v>
                </c:pt>
                <c:pt idx="5">
                  <c:v>0.20074795721512489</c:v>
                </c:pt>
                <c:pt idx="6">
                  <c:v>0.16852380431398142</c:v>
                </c:pt>
                <c:pt idx="7">
                  <c:v>0.11680708493223149</c:v>
                </c:pt>
                <c:pt idx="8">
                  <c:v>6.5400940606244476E-2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91-44EC-A858-32FDC78BEB70}"/>
            </c:ext>
          </c:extLst>
        </c:ser>
        <c:ser>
          <c:idx val="1"/>
          <c:order val="1"/>
          <c:tx>
            <c:v>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'H2 uptake rates'!$E$254:$E$262</c:f>
              <c:numCache>
                <c:formatCode>0</c:formatCode>
                <c:ptCount val="9"/>
                <c:pt idx="0">
                  <c:v>0</c:v>
                </c:pt>
                <c:pt idx="1">
                  <c:v>8</c:v>
                </c:pt>
                <c:pt idx="2">
                  <c:v>20</c:v>
                </c:pt>
                <c:pt idx="3">
                  <c:v>42</c:v>
                </c:pt>
                <c:pt idx="4">
                  <c:v>64</c:v>
                </c:pt>
                <c:pt idx="5">
                  <c:v>98</c:v>
                </c:pt>
                <c:pt idx="6">
                  <c:v>132</c:v>
                </c:pt>
                <c:pt idx="7">
                  <c:v>163</c:v>
                </c:pt>
                <c:pt idx="8">
                  <c:v>204</c:v>
                </c:pt>
              </c:numCache>
            </c:numRef>
          </c:xVal>
          <c:yVal>
            <c:numRef>
              <c:f>'H2 uptake rates'!$J$254:$J$262</c:f>
              <c:numCache>
                <c:formatCode>0.000</c:formatCode>
                <c:ptCount val="9"/>
                <c:pt idx="0">
                  <c:v>0.41492927547848935</c:v>
                </c:pt>
                <c:pt idx="1">
                  <c:v>0.36689963945105286</c:v>
                </c:pt>
                <c:pt idx="2">
                  <c:v>0.35977234009444264</c:v>
                </c:pt>
                <c:pt idx="3">
                  <c:v>0.30737474462890485</c:v>
                </c:pt>
                <c:pt idx="4">
                  <c:v>0.2619372157976434</c:v>
                </c:pt>
                <c:pt idx="5">
                  <c:v>0.18538245541782938</c:v>
                </c:pt>
                <c:pt idx="6">
                  <c:v>0.15438865754528508</c:v>
                </c:pt>
                <c:pt idx="7">
                  <c:v>9.5703908066290505E-2</c:v>
                </c:pt>
                <c:pt idx="8">
                  <c:v>6.8554471941683209E-2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91-44EC-A858-32FDC78BEB70}"/>
            </c:ext>
          </c:extLst>
        </c:ser>
        <c:ser>
          <c:idx val="2"/>
          <c:order val="2"/>
          <c:tx>
            <c:v>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'H2 uptake rates'!$E$267:$E$275</c:f>
              <c:numCache>
                <c:formatCode>0</c:formatCode>
                <c:ptCount val="9"/>
                <c:pt idx="0">
                  <c:v>0</c:v>
                </c:pt>
                <c:pt idx="1">
                  <c:v>6</c:v>
                </c:pt>
                <c:pt idx="2">
                  <c:v>17</c:v>
                </c:pt>
                <c:pt idx="3">
                  <c:v>39</c:v>
                </c:pt>
                <c:pt idx="4">
                  <c:v>62</c:v>
                </c:pt>
                <c:pt idx="5">
                  <c:v>95</c:v>
                </c:pt>
                <c:pt idx="6">
                  <c:v>129</c:v>
                </c:pt>
                <c:pt idx="7">
                  <c:v>161</c:v>
                </c:pt>
                <c:pt idx="8">
                  <c:v>262</c:v>
                </c:pt>
              </c:numCache>
            </c:numRef>
          </c:xVal>
          <c:yVal>
            <c:numRef>
              <c:f>'H2 uptake rates'!$J$267:$J$275</c:f>
              <c:numCache>
                <c:formatCode>0.000</c:formatCode>
                <c:ptCount val="9"/>
                <c:pt idx="0">
                  <c:v>0.54030404558534162</c:v>
                </c:pt>
                <c:pt idx="1">
                  <c:v>0.48484250774275817</c:v>
                </c:pt>
                <c:pt idx="2">
                  <c:v>0.39928505247730406</c:v>
                </c:pt>
                <c:pt idx="3">
                  <c:v>0.3558762158372118</c:v>
                </c:pt>
                <c:pt idx="4">
                  <c:v>0.30657043486910857</c:v>
                </c:pt>
                <c:pt idx="5">
                  <c:v>0.23553833605779645</c:v>
                </c:pt>
                <c:pt idx="6">
                  <c:v>0.17344920615986234</c:v>
                </c:pt>
                <c:pt idx="7">
                  <c:v>0.12533993550274311</c:v>
                </c:pt>
                <c:pt idx="8">
                  <c:v>8.1341802602998212E-2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D91-44EC-A858-32FDC78BE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3803023"/>
        <c:axId val="720799392"/>
      </c:scatterChart>
      <c:valAx>
        <c:axId val="1653803023"/>
        <c:scaling>
          <c:orientation val="minMax"/>
          <c:max val="16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Time</a:t>
                </a:r>
                <a:r>
                  <a:rPr lang="zh-CN" altLang="en-US" sz="1800"/>
                  <a:t> </a:t>
                </a:r>
                <a:r>
                  <a:rPr lang="en-US" altLang="zh-CN" sz="1800"/>
                  <a:t>(min)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799392"/>
        <c:crosses val="autoZero"/>
        <c:crossBetween val="midCat"/>
      </c:valAx>
      <c:valAx>
        <c:axId val="7207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H</a:t>
                </a:r>
                <a:r>
                  <a:rPr lang="en-US" altLang="zh-CN" sz="1800" baseline="-25000"/>
                  <a:t>2</a:t>
                </a:r>
                <a:r>
                  <a:rPr lang="zh-CN" altLang="en-US" sz="1800"/>
                  <a:t> </a:t>
                </a:r>
                <a:r>
                  <a:rPr lang="en-US" altLang="zh-CN" sz="1800"/>
                  <a:t>Concentration</a:t>
                </a:r>
                <a:r>
                  <a:rPr lang="zh-CN" altLang="en-US" sz="1800"/>
                  <a:t> </a:t>
                </a:r>
                <a:r>
                  <a:rPr lang="en-US" altLang="zh-CN" sz="1800"/>
                  <a:t>(ppm)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803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Fairgrown Farm Rosemary-Planted</a:t>
            </a:r>
            <a:r>
              <a:rPr lang="en-US" baseline="0"/>
              <a:t> Soil Ln-Linearized H2 Uptake</a:t>
            </a:r>
          </a:p>
        </c:rich>
      </c:tx>
      <c:layout>
        <c:manualLayout>
          <c:xMode val="edge"/>
          <c:yMode val="edge"/>
          <c:x val="0.201111111111111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'H2 uptake rates'!$A$82</c:f>
              <c:strCache>
                <c:ptCount val="1"/>
                <c:pt idx="0">
                  <c:v>FGF-rm-20-1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953048348662616"/>
                  <c:y val="7.938470619810862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'H2 uptake rates'!$E$83:$E$91</c:f>
              <c:numCache>
                <c:formatCode>0</c:formatCode>
                <c:ptCount val="9"/>
                <c:pt idx="0">
                  <c:v>0</c:v>
                </c:pt>
                <c:pt idx="1">
                  <c:v>15</c:v>
                </c:pt>
                <c:pt idx="2">
                  <c:v>32</c:v>
                </c:pt>
                <c:pt idx="3">
                  <c:v>49</c:v>
                </c:pt>
                <c:pt idx="4">
                  <c:v>78</c:v>
                </c:pt>
                <c:pt idx="7">
                  <c:v>183</c:v>
                </c:pt>
                <c:pt idx="8">
                  <c:v>225</c:v>
                </c:pt>
              </c:numCache>
            </c:numRef>
          </c:xVal>
          <c:yVal>
            <c:numRef>
              <c:f>'H2 uptake rates'!$L$83:$L$91</c:f>
              <c:numCache>
                <c:formatCode>0.000</c:formatCode>
                <c:ptCount val="9"/>
                <c:pt idx="0">
                  <c:v>-0.80233666539612825</c:v>
                </c:pt>
                <c:pt idx="1">
                  <c:v>-0.96862837732437812</c:v>
                </c:pt>
                <c:pt idx="2">
                  <c:v>-1.098408312047801</c:v>
                </c:pt>
                <c:pt idx="3">
                  <c:v>-1.2282872050063347</c:v>
                </c:pt>
                <c:pt idx="4">
                  <c:v>-1.4531005851583263</c:v>
                </c:pt>
                <c:pt idx="7">
                  <c:v>-2.1613754029309211</c:v>
                </c:pt>
                <c:pt idx="8">
                  <c:v>-2.3237697648189224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46-4EBC-AD21-74549D21C77F}"/>
            </c:ext>
          </c:extLst>
        </c:ser>
        <c:ser>
          <c:idx val="1"/>
          <c:order val="1"/>
          <c:tx>
            <c:strRef>
              <c:f>'H2 uptake rates'!$A$95</c:f>
              <c:strCache>
                <c:ptCount val="1"/>
                <c:pt idx="0">
                  <c:v>FGF-rm-20-2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812422917840879"/>
                  <c:y val="6.284590596444941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'H2 uptake rates'!$E$96:$E$104</c:f>
              <c:numCache>
                <c:formatCode>0</c:formatCode>
                <c:ptCount val="9"/>
                <c:pt idx="0">
                  <c:v>0</c:v>
                </c:pt>
                <c:pt idx="2">
                  <c:v>31</c:v>
                </c:pt>
                <c:pt idx="3">
                  <c:v>48</c:v>
                </c:pt>
                <c:pt idx="4">
                  <c:v>77</c:v>
                </c:pt>
                <c:pt idx="7">
                  <c:v>181</c:v>
                </c:pt>
                <c:pt idx="8">
                  <c:v>224</c:v>
                </c:pt>
              </c:numCache>
            </c:numRef>
          </c:xVal>
          <c:yVal>
            <c:numRef>
              <c:f>'H2 uptake rates'!$L$96:$L$104</c:f>
              <c:numCache>
                <c:formatCode>0.000</c:formatCode>
                <c:ptCount val="9"/>
                <c:pt idx="0">
                  <c:v>-0.86316323893627689</c:v>
                </c:pt>
                <c:pt idx="2">
                  <c:v>-1.0290021086249908</c:v>
                </c:pt>
                <c:pt idx="3">
                  <c:v>-1.3646078694263104</c:v>
                </c:pt>
                <c:pt idx="4">
                  <c:v>-1.4235480242115555</c:v>
                </c:pt>
                <c:pt idx="7">
                  <c:v>-2.2490352419080684</c:v>
                </c:pt>
                <c:pt idx="8">
                  <c:v>-2.4510907276200951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46-4EBC-AD21-74549D21C77F}"/>
            </c:ext>
          </c:extLst>
        </c:ser>
        <c:ser>
          <c:idx val="2"/>
          <c:order val="2"/>
          <c:tx>
            <c:strRef>
              <c:f>'H2 uptake rates'!$A$108</c:f>
              <c:strCache>
                <c:ptCount val="1"/>
                <c:pt idx="0">
                  <c:v>FGF-rm-20-3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9000257592584906E-2"/>
                  <c:y val="4.3640943688482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'H2 uptake rates'!$E$109:$E$117</c:f>
              <c:numCache>
                <c:formatCode>0</c:formatCode>
                <c:ptCount val="9"/>
                <c:pt idx="0">
                  <c:v>0</c:v>
                </c:pt>
                <c:pt idx="2">
                  <c:v>30</c:v>
                </c:pt>
                <c:pt idx="3">
                  <c:v>48</c:v>
                </c:pt>
                <c:pt idx="4">
                  <c:v>77</c:v>
                </c:pt>
                <c:pt idx="7">
                  <c:v>181</c:v>
                </c:pt>
                <c:pt idx="8">
                  <c:v>224</c:v>
                </c:pt>
              </c:numCache>
            </c:numRef>
          </c:xVal>
          <c:yVal>
            <c:numRef>
              <c:f>'H2 uptake rates'!$L$109:$L$117</c:f>
              <c:numCache>
                <c:formatCode>0.000</c:formatCode>
                <c:ptCount val="9"/>
                <c:pt idx="0">
                  <c:v>-0.8446830317826225</c:v>
                </c:pt>
                <c:pt idx="2">
                  <c:v>-1.1564925414728411</c:v>
                </c:pt>
                <c:pt idx="3">
                  <c:v>-1.2224431008766192</c:v>
                </c:pt>
                <c:pt idx="4">
                  <c:v>-1.5055692277213222</c:v>
                </c:pt>
                <c:pt idx="7">
                  <c:v>-2.3843136821577744</c:v>
                </c:pt>
                <c:pt idx="8">
                  <c:v>-2.4803856907088839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46-4EBC-AD21-74549D21C77F}"/>
            </c:ext>
          </c:extLst>
        </c:ser>
        <c:ser>
          <c:idx val="3"/>
          <c:order val="3"/>
          <c:tx>
            <c:strRef>
              <c:f>'H2 uptake rates'!$A$82:$B$82</c:f>
              <c:strCache>
                <c:ptCount val="1"/>
                <c:pt idx="0">
                  <c:v>FGF-rm-20-1  (No Tails)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34771173576416"/>
                  <c:y val="-0.145428734819607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'H2 uptake rates'!$E$83:$E$87</c:f>
              <c:numCache>
                <c:formatCode>0</c:formatCode>
                <c:ptCount val="5"/>
                <c:pt idx="0">
                  <c:v>0</c:v>
                </c:pt>
                <c:pt idx="1">
                  <c:v>15</c:v>
                </c:pt>
                <c:pt idx="2">
                  <c:v>32</c:v>
                </c:pt>
                <c:pt idx="3">
                  <c:v>49</c:v>
                </c:pt>
                <c:pt idx="4">
                  <c:v>78</c:v>
                </c:pt>
              </c:numCache>
            </c:numRef>
          </c:xVal>
          <c:yVal>
            <c:numRef>
              <c:f>'H2 uptake rates'!$L$83:$L$87</c:f>
              <c:numCache>
                <c:formatCode>0.000</c:formatCode>
                <c:ptCount val="5"/>
                <c:pt idx="0">
                  <c:v>-0.80233666539612825</c:v>
                </c:pt>
                <c:pt idx="1">
                  <c:v>-0.96862837732437812</c:v>
                </c:pt>
                <c:pt idx="2">
                  <c:v>-1.098408312047801</c:v>
                </c:pt>
                <c:pt idx="3">
                  <c:v>-1.2282872050063347</c:v>
                </c:pt>
                <c:pt idx="4">
                  <c:v>-1.4531005851583263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246-4EBC-AD21-74549D21C77F}"/>
            </c:ext>
          </c:extLst>
        </c:ser>
        <c:ser>
          <c:idx val="4"/>
          <c:order val="4"/>
          <c:tx>
            <c:strRef>
              <c:f>'H2 uptake rates'!$A$95:$B$95</c:f>
              <c:strCache>
                <c:ptCount val="1"/>
                <c:pt idx="0">
                  <c:v>FGF-rm-20-2  (No Tails)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7236135892632831E-2"/>
                  <c:y val="-0.146700528539928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'H2 uptake rates'!$E$96:$E$100</c:f>
              <c:numCache>
                <c:formatCode>0</c:formatCode>
                <c:ptCount val="5"/>
                <c:pt idx="0">
                  <c:v>0</c:v>
                </c:pt>
                <c:pt idx="2">
                  <c:v>31</c:v>
                </c:pt>
                <c:pt idx="3">
                  <c:v>48</c:v>
                </c:pt>
                <c:pt idx="4">
                  <c:v>77</c:v>
                </c:pt>
              </c:numCache>
            </c:numRef>
          </c:xVal>
          <c:yVal>
            <c:numRef>
              <c:f>'H2 uptake rates'!$L$96:$L$100</c:f>
              <c:numCache>
                <c:formatCode>0.000</c:formatCode>
                <c:ptCount val="5"/>
                <c:pt idx="0">
                  <c:v>-0.86316323893627689</c:v>
                </c:pt>
                <c:pt idx="2">
                  <c:v>-1.0290021086249908</c:v>
                </c:pt>
                <c:pt idx="3">
                  <c:v>-1.3646078694263104</c:v>
                </c:pt>
                <c:pt idx="4">
                  <c:v>-1.4235480242115555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246-4EBC-AD21-74549D21C77F}"/>
            </c:ext>
          </c:extLst>
        </c:ser>
        <c:ser>
          <c:idx val="5"/>
          <c:order val="5"/>
          <c:tx>
            <c:strRef>
              <c:f>'H2 uptake rates'!$A$108:$B$108</c:f>
              <c:strCache>
                <c:ptCount val="1"/>
                <c:pt idx="0">
                  <c:v>FGF-rm-20-3  (No Tails)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1583069137402667"/>
                  <c:y val="-0.153150715449750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'H2 uptake rates'!$E$109:$E$113</c:f>
              <c:numCache>
                <c:formatCode>0</c:formatCode>
                <c:ptCount val="5"/>
                <c:pt idx="0">
                  <c:v>0</c:v>
                </c:pt>
                <c:pt idx="2">
                  <c:v>30</c:v>
                </c:pt>
                <c:pt idx="3">
                  <c:v>48</c:v>
                </c:pt>
                <c:pt idx="4">
                  <c:v>77</c:v>
                </c:pt>
              </c:numCache>
            </c:numRef>
          </c:xVal>
          <c:yVal>
            <c:numRef>
              <c:f>'H2 uptake rates'!$L$109:$L$113</c:f>
              <c:numCache>
                <c:formatCode>0.000</c:formatCode>
                <c:ptCount val="5"/>
                <c:pt idx="0">
                  <c:v>-0.8446830317826225</c:v>
                </c:pt>
                <c:pt idx="2">
                  <c:v>-1.1564925414728411</c:v>
                </c:pt>
                <c:pt idx="3">
                  <c:v>-1.2224431008766192</c:v>
                </c:pt>
                <c:pt idx="4">
                  <c:v>-1.5055692277213222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246-4EBC-AD21-74549D21C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3797024"/>
        <c:axId val="2083804704"/>
      </c:scatterChart>
      <c:valAx>
        <c:axId val="208379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post-closure (minutes)</a:t>
                </a:r>
              </a:p>
            </c:rich>
          </c:tx>
          <c:layout>
            <c:manualLayout>
              <c:xMode val="edge"/>
              <c:yMode val="edge"/>
              <c:x val="0.40619975435721462"/>
              <c:y val="0.753763632313033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804704"/>
        <c:crosses val="autoZero"/>
        <c:crossBetween val="midCat"/>
      </c:valAx>
      <c:valAx>
        <c:axId val="208380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ln(H2 conc.)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797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1027762622421784E-2"/>
          <c:y val="0.79392424670342299"/>
          <c:w val="0.84131367289024506"/>
          <c:h val="0.183797435713020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000"/>
              <a:t>Agricultural</a:t>
            </a:r>
            <a:r>
              <a:rPr lang="zh-CN" altLang="en-US" sz="2000"/>
              <a:t> </a:t>
            </a:r>
            <a:r>
              <a:rPr lang="en-US" altLang="zh-CN" sz="2000"/>
              <a:t>Weight</a:t>
            </a:r>
            <a:r>
              <a:rPr lang="zh-CN" altLang="en-US" sz="2000"/>
              <a:t> </a:t>
            </a:r>
            <a:r>
              <a:rPr lang="en-US" altLang="zh-CN" sz="2000"/>
              <a:t>Normalized</a:t>
            </a:r>
            <a:r>
              <a:rPr lang="zh-CN" altLang="en-US" sz="2000"/>
              <a:t> </a:t>
            </a:r>
            <a:r>
              <a:rPr lang="en-US" altLang="zh-CN" sz="2000"/>
              <a:t>k</a:t>
            </a:r>
            <a:r>
              <a:rPr lang="zh-CN" altLang="en-US" sz="2000"/>
              <a:t> </a:t>
            </a:r>
            <a:r>
              <a:rPr lang="en-US" altLang="zh-CN" sz="2000"/>
              <a:t>vs</a:t>
            </a:r>
            <a:r>
              <a:rPr lang="zh-CN" altLang="en-US" sz="2000"/>
              <a:t> </a:t>
            </a:r>
            <a:r>
              <a:rPr lang="en-US" altLang="zh-CN" sz="2000"/>
              <a:t>final</a:t>
            </a:r>
            <a:r>
              <a:rPr lang="zh-CN" altLang="en-US" sz="2000" baseline="0"/>
              <a:t> </a:t>
            </a:r>
            <a:r>
              <a:rPr lang="en-US" altLang="zh-CN" sz="2000"/>
              <a:t>%Saturation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v>sunflower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'k vs %Sat or WP'!$I$2:$I$4</c:f>
              <c:numCache>
                <c:formatCode>0.0</c:formatCode>
                <c:ptCount val="3"/>
                <c:pt idx="0">
                  <c:v>15.407407722713595</c:v>
                </c:pt>
                <c:pt idx="1">
                  <c:v>15.300750794921916</c:v>
                </c:pt>
                <c:pt idx="2">
                  <c:v>14.26550387809683</c:v>
                </c:pt>
              </c:numCache>
            </c:numRef>
          </c:xVal>
          <c:yVal>
            <c:numRef>
              <c:f>'k vs %Sat or WP'!$N$2:$N$4</c:f>
              <c:numCache>
                <c:formatCode>0.000000</c:formatCode>
                <c:ptCount val="3"/>
                <c:pt idx="0">
                  <c:v>3.7871509372195576E-3</c:v>
                </c:pt>
                <c:pt idx="1">
                  <c:v>3.0311974221723455E-3</c:v>
                </c:pt>
                <c:pt idx="2">
                  <c:v>3.7071580610332721E-3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19-AB46-9EC2-5C205903538B}"/>
            </c:ext>
          </c:extLst>
        </c:ser>
        <c:ser>
          <c:idx val="1"/>
          <c:order val="1"/>
          <c:tx>
            <c:v>corn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'k vs %Sat or WP'!$I$5:$I$7</c:f>
              <c:numCache>
                <c:formatCode>0.0</c:formatCode>
                <c:ptCount val="3"/>
                <c:pt idx="0">
                  <c:v>16.876186492114339</c:v>
                </c:pt>
                <c:pt idx="1">
                  <c:v>17.183957190726318</c:v>
                </c:pt>
                <c:pt idx="2">
                  <c:v>16.426631830717241</c:v>
                </c:pt>
              </c:numCache>
            </c:numRef>
          </c:xVal>
          <c:yVal>
            <c:numRef>
              <c:f>'k vs %Sat or WP'!$N$5:$N$7</c:f>
              <c:numCache>
                <c:formatCode>0.000000</c:formatCode>
                <c:ptCount val="3"/>
                <c:pt idx="0">
                  <c:v>2.7969444353541854E-3</c:v>
                </c:pt>
                <c:pt idx="1">
                  <c:v>3.7375225615818679E-3</c:v>
                </c:pt>
                <c:pt idx="2">
                  <c:v>3.0747446589618785E-3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19-AB46-9EC2-5C205903538B}"/>
            </c:ext>
          </c:extLst>
        </c:ser>
        <c:ser>
          <c:idx val="0"/>
          <c:order val="2"/>
          <c:tx>
            <c:v>rosemary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D86DCD"/>
              </a:solidFill>
              <a:ln w="25400">
                <a:noFill/>
              </a:ln>
              <a:effectLst/>
            </c:spPr>
          </c:marker>
          <c:xVal>
            <c:numRef>
              <c:f>'k vs %Sat or WP'!$I$8:$I$10</c:f>
              <c:numCache>
                <c:formatCode>0.0</c:formatCode>
                <c:ptCount val="3"/>
                <c:pt idx="0">
                  <c:v>10.209152455248237</c:v>
                </c:pt>
                <c:pt idx="1">
                  <c:v>11.664728767164227</c:v>
                </c:pt>
                <c:pt idx="2">
                  <c:v>10.865457465694016</c:v>
                </c:pt>
              </c:numCache>
            </c:numRef>
          </c:xVal>
          <c:yVal>
            <c:numRef>
              <c:f>'k vs %Sat or WP'!$N$8:$N$10</c:f>
              <c:numCache>
                <c:formatCode>0.000000</c:formatCode>
                <c:ptCount val="3"/>
                <c:pt idx="0">
                  <c:v>3.5942501006581092E-3</c:v>
                </c:pt>
                <c:pt idx="1">
                  <c:v>3.6844198244518006E-3</c:v>
                </c:pt>
                <c:pt idx="2">
                  <c:v>3.9287799989784038E-3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19-AB46-9EC2-5C205903538B}"/>
            </c:ext>
          </c:extLst>
        </c:ser>
        <c:ser>
          <c:idx val="2"/>
          <c:order val="3"/>
          <c:tx>
            <c:v>oregano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'k vs %Sat or WP'!$I$11:$I$13</c:f>
              <c:numCache>
                <c:formatCode>0.0</c:formatCode>
                <c:ptCount val="3"/>
                <c:pt idx="0">
                  <c:v>15.4823203614691</c:v>
                </c:pt>
                <c:pt idx="1">
                  <c:v>14.165600436111264</c:v>
                </c:pt>
                <c:pt idx="2">
                  <c:v>14.626350705260592</c:v>
                </c:pt>
              </c:numCache>
            </c:numRef>
          </c:xVal>
          <c:yVal>
            <c:numRef>
              <c:f>'k vs %Sat or WP'!$N$11:$N$13</c:f>
              <c:numCache>
                <c:formatCode>0.000000</c:formatCode>
                <c:ptCount val="3"/>
                <c:pt idx="0">
                  <c:v>2.0975906825212005E-3</c:v>
                </c:pt>
                <c:pt idx="1">
                  <c:v>2.445305926119498E-3</c:v>
                </c:pt>
                <c:pt idx="2">
                  <c:v>2.433590551067886E-3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19-AB46-9EC2-5C205903538B}"/>
            </c:ext>
          </c:extLst>
        </c:ser>
        <c:ser>
          <c:idx val="4"/>
          <c:order val="4"/>
          <c:tx>
            <c:v>sod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'k vs %Sat or WP'!$I$14:$I$16</c:f>
              <c:numCache>
                <c:formatCode>0.0</c:formatCode>
                <c:ptCount val="3"/>
                <c:pt idx="0">
                  <c:v>13.646929842937606</c:v>
                </c:pt>
                <c:pt idx="1">
                  <c:v>12.615697701261171</c:v>
                </c:pt>
                <c:pt idx="2">
                  <c:v>11.972902619915907</c:v>
                </c:pt>
              </c:numCache>
            </c:numRef>
          </c:xVal>
          <c:yVal>
            <c:numRef>
              <c:f>'k vs %Sat or WP'!$N$14:$N$16</c:f>
              <c:numCache>
                <c:formatCode>0.000000</c:formatCode>
                <c:ptCount val="3"/>
                <c:pt idx="0">
                  <c:v>8.0360852875607375E-3</c:v>
                </c:pt>
                <c:pt idx="1">
                  <c:v>9.5095343570380814E-3</c:v>
                </c:pt>
                <c:pt idx="2">
                  <c:v>8.8956867581568011E-3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219-AB46-9EC2-5C205903538B}"/>
            </c:ext>
          </c:extLst>
        </c:ser>
        <c:ser>
          <c:idx val="5"/>
          <c:order val="5"/>
          <c:tx>
            <c:v>buckwheat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'k vs %Sat or WP'!$I$17:$I$19</c:f>
              <c:numCache>
                <c:formatCode>0.0</c:formatCode>
                <c:ptCount val="3"/>
                <c:pt idx="0">
                  <c:v>15.126039040701745</c:v>
                </c:pt>
                <c:pt idx="1">
                  <c:v>14.46297121860826</c:v>
                </c:pt>
                <c:pt idx="2">
                  <c:v>16.040110864086916</c:v>
                </c:pt>
              </c:numCache>
            </c:numRef>
          </c:xVal>
          <c:yVal>
            <c:numRef>
              <c:f>'k vs %Sat or WP'!$N$17:$N$19</c:f>
              <c:numCache>
                <c:formatCode>0.000000</c:formatCode>
                <c:ptCount val="3"/>
                <c:pt idx="0">
                  <c:v>2.0447219021125689E-3</c:v>
                </c:pt>
                <c:pt idx="1">
                  <c:v>1.5902234534734291E-3</c:v>
                </c:pt>
                <c:pt idx="2">
                  <c:v>1.9375868438483597E-3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219-AB46-9EC2-5C205903538B}"/>
            </c:ext>
          </c:extLst>
        </c:ser>
        <c:ser>
          <c:idx val="6"/>
          <c:order val="6"/>
          <c:tx>
            <c:v>asparagus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'k vs %Sat or WP'!$I$20:$I$22</c:f>
              <c:numCache>
                <c:formatCode>0.0</c:formatCode>
                <c:ptCount val="3"/>
                <c:pt idx="0">
                  <c:v>38.498136879970147</c:v>
                </c:pt>
                <c:pt idx="1">
                  <c:v>34.834196116665971</c:v>
                </c:pt>
                <c:pt idx="2">
                  <c:v>34.125038754140128</c:v>
                </c:pt>
              </c:numCache>
            </c:numRef>
          </c:xVal>
          <c:yVal>
            <c:numRef>
              <c:f>'k vs %Sat or WP'!$N$20:$N$22</c:f>
              <c:numCache>
                <c:formatCode>0.000000</c:formatCode>
                <c:ptCount val="3"/>
                <c:pt idx="0">
                  <c:v>3.792618387822902E-3</c:v>
                </c:pt>
                <c:pt idx="1">
                  <c:v>4.2434291076235949E-3</c:v>
                </c:pt>
                <c:pt idx="2">
                  <c:v>4.0262865306841741E-3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219-AB46-9EC2-5C205903538B}"/>
            </c:ext>
          </c:extLst>
        </c:ser>
        <c:ser>
          <c:idx val="7"/>
          <c:order val="7"/>
          <c:tx>
            <c:v>young cherry tree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'k vs %Sat or WP'!$I$23:$I$25</c:f>
              <c:numCache>
                <c:formatCode>0.0</c:formatCode>
                <c:ptCount val="3"/>
                <c:pt idx="0">
                  <c:v>31.953831900644627</c:v>
                </c:pt>
                <c:pt idx="1">
                  <c:v>30.549571213079055</c:v>
                </c:pt>
                <c:pt idx="2">
                  <c:v>25.382506093795751</c:v>
                </c:pt>
              </c:numCache>
            </c:numRef>
          </c:xVal>
          <c:yVal>
            <c:numRef>
              <c:f>'k vs %Sat or WP'!$N$23:$N$25</c:f>
              <c:numCache>
                <c:formatCode>0.000000</c:formatCode>
                <c:ptCount val="3"/>
                <c:pt idx="0">
                  <c:v>1.2986757718715107E-3</c:v>
                </c:pt>
                <c:pt idx="1">
                  <c:v>9.3503455772138433E-4</c:v>
                </c:pt>
                <c:pt idx="2">
                  <c:v>7.372939716114575E-4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219-AB46-9EC2-5C2059035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280144"/>
        <c:axId val="1033281856"/>
      </c:scatterChart>
      <c:valAx>
        <c:axId val="103328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%</a:t>
                </a:r>
                <a:r>
                  <a:rPr lang="zh-CN" altLang="en-US" sz="1800"/>
                  <a:t> </a:t>
                </a:r>
                <a:r>
                  <a:rPr lang="en-US" altLang="zh-CN" sz="1800"/>
                  <a:t>Saturation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3281856"/>
        <c:crosses val="autoZero"/>
        <c:crossBetween val="midCat"/>
      </c:valAx>
      <c:valAx>
        <c:axId val="10332818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k</a:t>
                </a:r>
                <a:r>
                  <a:rPr lang="zh-CN" altLang="en-US" sz="1800"/>
                  <a:t> </a:t>
                </a:r>
                <a:r>
                  <a:rPr lang="en-US" altLang="zh-CN" sz="1800"/>
                  <a:t>(min</a:t>
                </a:r>
                <a:r>
                  <a:rPr lang="en-US" altLang="zh-CN" sz="1800" baseline="30000"/>
                  <a:t>-1</a:t>
                </a:r>
                <a:r>
                  <a:rPr lang="en-US" altLang="zh-CN" sz="1800"/>
                  <a:t>gSoil-1)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3280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811484700951778"/>
          <c:y val="0.18557272058108179"/>
          <c:w val="0.24067285493900156"/>
          <c:h val="0.59072427800733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000"/>
              <a:t>Agricultural</a:t>
            </a:r>
            <a:r>
              <a:rPr lang="zh-CN" altLang="en-US" sz="2000"/>
              <a:t> </a:t>
            </a:r>
            <a:r>
              <a:rPr lang="en-US" altLang="zh-CN" sz="2000"/>
              <a:t>Weight</a:t>
            </a:r>
            <a:r>
              <a:rPr lang="zh-CN" altLang="en-US" sz="2000"/>
              <a:t> </a:t>
            </a:r>
            <a:r>
              <a:rPr lang="en-US" altLang="zh-CN" sz="2000"/>
              <a:t>Normalized</a:t>
            </a:r>
            <a:r>
              <a:rPr lang="zh-CN" altLang="en-US" sz="2000"/>
              <a:t> </a:t>
            </a:r>
            <a:r>
              <a:rPr lang="en-US" altLang="zh-CN" sz="2000"/>
              <a:t>k</a:t>
            </a:r>
            <a:r>
              <a:rPr lang="zh-CN" altLang="en-US" sz="2000"/>
              <a:t> </a:t>
            </a:r>
            <a:r>
              <a:rPr lang="en-US" altLang="zh-CN" sz="2000"/>
              <a:t>vs</a:t>
            </a:r>
            <a:r>
              <a:rPr lang="zh-CN" altLang="en-US" sz="2000"/>
              <a:t> </a:t>
            </a:r>
            <a:r>
              <a:rPr lang="en-US" altLang="zh-CN" sz="2000"/>
              <a:t>final</a:t>
            </a:r>
            <a:r>
              <a:rPr lang="zh-CN" altLang="en-US" sz="2000" baseline="0"/>
              <a:t> </a:t>
            </a:r>
            <a:r>
              <a:rPr lang="en-US" altLang="zh-CN" sz="2000"/>
              <a:t>WP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v>sunflower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'k vs %Sat or WP'!$J$2:$J$4</c:f>
              <c:numCache>
                <c:formatCode>General</c:formatCode>
                <c:ptCount val="3"/>
                <c:pt idx="0">
                  <c:v>-2.37</c:v>
                </c:pt>
                <c:pt idx="1">
                  <c:v>-2.2000000000000002</c:v>
                </c:pt>
                <c:pt idx="2">
                  <c:v>-2.35</c:v>
                </c:pt>
              </c:numCache>
            </c:numRef>
          </c:xVal>
          <c:yVal>
            <c:numRef>
              <c:f>'k vs %Sat or WP'!$N$2:$N$4</c:f>
              <c:numCache>
                <c:formatCode>0.000000</c:formatCode>
                <c:ptCount val="3"/>
                <c:pt idx="0">
                  <c:v>3.7871509372195576E-3</c:v>
                </c:pt>
                <c:pt idx="1">
                  <c:v>3.0311974221723455E-3</c:v>
                </c:pt>
                <c:pt idx="2">
                  <c:v>3.7071580610332721E-3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A4-D848-93C0-B28F60DEAF05}"/>
            </c:ext>
          </c:extLst>
        </c:ser>
        <c:ser>
          <c:idx val="1"/>
          <c:order val="1"/>
          <c:tx>
            <c:v>corn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'k vs %Sat or WP'!$J$5:$J$7</c:f>
              <c:numCache>
                <c:formatCode>General</c:formatCode>
                <c:ptCount val="3"/>
                <c:pt idx="0">
                  <c:v>-2.25</c:v>
                </c:pt>
                <c:pt idx="1">
                  <c:v>-2.33</c:v>
                </c:pt>
                <c:pt idx="2">
                  <c:v>-2.4900000000000002</c:v>
                </c:pt>
              </c:numCache>
            </c:numRef>
          </c:xVal>
          <c:yVal>
            <c:numRef>
              <c:f>'k vs %Sat or WP'!$N$5:$N$7</c:f>
              <c:numCache>
                <c:formatCode>0.000000</c:formatCode>
                <c:ptCount val="3"/>
                <c:pt idx="0">
                  <c:v>2.7969444353541854E-3</c:v>
                </c:pt>
                <c:pt idx="1">
                  <c:v>3.7375225615818679E-3</c:v>
                </c:pt>
                <c:pt idx="2">
                  <c:v>3.0747446589618785E-3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A4-D848-93C0-B28F60DEAF05}"/>
            </c:ext>
          </c:extLst>
        </c:ser>
        <c:ser>
          <c:idx val="0"/>
          <c:order val="2"/>
          <c:tx>
            <c:v>rosemary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D86DCD"/>
              </a:solidFill>
              <a:ln w="25400">
                <a:noFill/>
              </a:ln>
              <a:effectLst/>
            </c:spPr>
          </c:marker>
          <c:xVal>
            <c:numRef>
              <c:f>'k vs %Sat or WP'!$J$8:$J$10</c:f>
              <c:numCache>
                <c:formatCode>General</c:formatCode>
                <c:ptCount val="3"/>
                <c:pt idx="0">
                  <c:v>-3.51</c:v>
                </c:pt>
                <c:pt idx="1">
                  <c:v>-3.33</c:v>
                </c:pt>
                <c:pt idx="2">
                  <c:v>-3.32</c:v>
                </c:pt>
              </c:numCache>
            </c:numRef>
          </c:xVal>
          <c:yVal>
            <c:numRef>
              <c:f>'k vs %Sat or WP'!$N$8:$N$10</c:f>
              <c:numCache>
                <c:formatCode>0.000000</c:formatCode>
                <c:ptCount val="3"/>
                <c:pt idx="0">
                  <c:v>3.5942501006581092E-3</c:v>
                </c:pt>
                <c:pt idx="1">
                  <c:v>3.6844198244518006E-3</c:v>
                </c:pt>
                <c:pt idx="2">
                  <c:v>3.9287799989784038E-3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A4-D848-93C0-B28F60DEAF05}"/>
            </c:ext>
          </c:extLst>
        </c:ser>
        <c:ser>
          <c:idx val="2"/>
          <c:order val="3"/>
          <c:tx>
            <c:v>oregano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'k vs %Sat or WP'!$J$11:$J$13</c:f>
              <c:numCache>
                <c:formatCode>General</c:formatCode>
                <c:ptCount val="3"/>
                <c:pt idx="0">
                  <c:v>-2.63</c:v>
                </c:pt>
                <c:pt idx="1">
                  <c:v>-3.24</c:v>
                </c:pt>
                <c:pt idx="2">
                  <c:v>-3.22</c:v>
                </c:pt>
              </c:numCache>
            </c:numRef>
          </c:xVal>
          <c:yVal>
            <c:numRef>
              <c:f>'k vs %Sat or WP'!$N$11:$N$13</c:f>
              <c:numCache>
                <c:formatCode>0.000000</c:formatCode>
                <c:ptCount val="3"/>
                <c:pt idx="0">
                  <c:v>2.0975906825212005E-3</c:v>
                </c:pt>
                <c:pt idx="1">
                  <c:v>2.445305926119498E-3</c:v>
                </c:pt>
                <c:pt idx="2">
                  <c:v>2.433590551067886E-3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A4-D848-93C0-B28F60DEAF05}"/>
            </c:ext>
          </c:extLst>
        </c:ser>
        <c:ser>
          <c:idx val="4"/>
          <c:order val="4"/>
          <c:tx>
            <c:v>sod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'k vs %Sat or WP'!$J$14:$J$16</c:f>
              <c:numCache>
                <c:formatCode>General</c:formatCode>
                <c:ptCount val="3"/>
                <c:pt idx="0">
                  <c:v>-2.5499999999999998</c:v>
                </c:pt>
                <c:pt idx="1">
                  <c:v>-3.42</c:v>
                </c:pt>
                <c:pt idx="2">
                  <c:v>-4</c:v>
                </c:pt>
              </c:numCache>
            </c:numRef>
          </c:xVal>
          <c:yVal>
            <c:numRef>
              <c:f>'k vs %Sat or WP'!$N$14:$N$16</c:f>
              <c:numCache>
                <c:formatCode>0.000000</c:formatCode>
                <c:ptCount val="3"/>
                <c:pt idx="0">
                  <c:v>8.0360852875607375E-3</c:v>
                </c:pt>
                <c:pt idx="1">
                  <c:v>9.5095343570380814E-3</c:v>
                </c:pt>
                <c:pt idx="2">
                  <c:v>8.8956867581568011E-3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A4-D848-93C0-B28F60DEAF05}"/>
            </c:ext>
          </c:extLst>
        </c:ser>
        <c:ser>
          <c:idx val="5"/>
          <c:order val="5"/>
          <c:tx>
            <c:v>buckwheat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'k vs %Sat or WP'!$J$17:$J$19</c:f>
              <c:numCache>
                <c:formatCode>General</c:formatCode>
                <c:ptCount val="3"/>
                <c:pt idx="0">
                  <c:v>-1.74</c:v>
                </c:pt>
                <c:pt idx="1">
                  <c:v>-1.83</c:v>
                </c:pt>
                <c:pt idx="2">
                  <c:v>-1.57</c:v>
                </c:pt>
              </c:numCache>
            </c:numRef>
          </c:xVal>
          <c:yVal>
            <c:numRef>
              <c:f>'k vs %Sat or WP'!$N$17:$N$19</c:f>
              <c:numCache>
                <c:formatCode>0.000000</c:formatCode>
                <c:ptCount val="3"/>
                <c:pt idx="0">
                  <c:v>2.0447219021125689E-3</c:v>
                </c:pt>
                <c:pt idx="1">
                  <c:v>1.5902234534734291E-3</c:v>
                </c:pt>
                <c:pt idx="2">
                  <c:v>1.9375868438483597E-3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0A4-D848-93C0-B28F60DEAF05}"/>
            </c:ext>
          </c:extLst>
        </c:ser>
        <c:ser>
          <c:idx val="6"/>
          <c:order val="6"/>
          <c:tx>
            <c:v>asparagus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'k vs %Sat or WP'!$J$20:$J$22</c:f>
              <c:numCache>
                <c:formatCode>General</c:formatCode>
                <c:ptCount val="3"/>
                <c:pt idx="0">
                  <c:v>-0.15</c:v>
                </c:pt>
                <c:pt idx="1">
                  <c:v>-0.3</c:v>
                </c:pt>
                <c:pt idx="2">
                  <c:v>-0.28999999999999998</c:v>
                </c:pt>
              </c:numCache>
            </c:numRef>
          </c:xVal>
          <c:yVal>
            <c:numRef>
              <c:f>'k vs %Sat or WP'!$N$20:$N$22</c:f>
              <c:numCache>
                <c:formatCode>0.000000</c:formatCode>
                <c:ptCount val="3"/>
                <c:pt idx="0">
                  <c:v>3.792618387822902E-3</c:v>
                </c:pt>
                <c:pt idx="1">
                  <c:v>4.2434291076235949E-3</c:v>
                </c:pt>
                <c:pt idx="2">
                  <c:v>4.0262865306841741E-3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0A4-D848-93C0-B28F60DEAF05}"/>
            </c:ext>
          </c:extLst>
        </c:ser>
        <c:ser>
          <c:idx val="7"/>
          <c:order val="7"/>
          <c:tx>
            <c:v>young cherry tree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'k vs %Sat or WP'!$J$23:$J$25</c:f>
              <c:numCache>
                <c:formatCode>General</c:formatCode>
                <c:ptCount val="3"/>
                <c:pt idx="0">
                  <c:v>-0.44</c:v>
                </c:pt>
                <c:pt idx="1">
                  <c:v>-0.79</c:v>
                </c:pt>
                <c:pt idx="2">
                  <c:v>-1.1100000000000001</c:v>
                </c:pt>
              </c:numCache>
            </c:numRef>
          </c:xVal>
          <c:yVal>
            <c:numRef>
              <c:f>'k vs %Sat or WP'!$N$23:$N$25</c:f>
              <c:numCache>
                <c:formatCode>0.000000</c:formatCode>
                <c:ptCount val="3"/>
                <c:pt idx="0">
                  <c:v>1.2986757718715107E-3</c:v>
                </c:pt>
                <c:pt idx="1">
                  <c:v>9.3503455772138433E-4</c:v>
                </c:pt>
                <c:pt idx="2">
                  <c:v>7.372939716114575E-4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0A4-D848-93C0-B28F60DEA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280144"/>
        <c:axId val="1033281856"/>
      </c:scatterChart>
      <c:valAx>
        <c:axId val="103328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WP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3281856"/>
        <c:crosses val="autoZero"/>
        <c:crossBetween val="midCat"/>
      </c:valAx>
      <c:valAx>
        <c:axId val="10332818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k</a:t>
                </a:r>
                <a:r>
                  <a:rPr lang="zh-CN" altLang="en-US" sz="1800"/>
                  <a:t> </a:t>
                </a:r>
                <a:r>
                  <a:rPr lang="en-US" altLang="zh-CN" sz="1800"/>
                  <a:t>(min</a:t>
                </a:r>
                <a:r>
                  <a:rPr lang="en-US" altLang="zh-CN" sz="1800" baseline="30000"/>
                  <a:t>-1</a:t>
                </a:r>
                <a:r>
                  <a:rPr lang="en-US" altLang="zh-CN" sz="1800"/>
                  <a:t>gSOC-1)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3280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000"/>
              <a:t>Agricultural Weight</a:t>
            </a:r>
            <a:r>
              <a:rPr lang="zh-CN" altLang="en-US" sz="2000"/>
              <a:t> </a:t>
            </a:r>
            <a:r>
              <a:rPr lang="en-US" altLang="zh-CN" sz="2000"/>
              <a:t>and</a:t>
            </a:r>
            <a:r>
              <a:rPr lang="zh-CN" altLang="en-US" sz="2000"/>
              <a:t> </a:t>
            </a:r>
            <a:r>
              <a:rPr lang="en-US" altLang="zh-CN" sz="2000"/>
              <a:t>SOC Normalized k vs final %Saturation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84968063890012"/>
          <c:y val="0.13579956493931031"/>
          <c:w val="0.59739001775044609"/>
          <c:h val="0.67530367031969107"/>
        </c:manualLayout>
      </c:layout>
      <c:scatterChart>
        <c:scatterStyle val="lineMarker"/>
        <c:varyColors val="0"/>
        <c:ser>
          <c:idx val="3"/>
          <c:order val="0"/>
          <c:tx>
            <c:v>sunflower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'k vs %Sat or WP'!$I$2:$I$4</c:f>
              <c:numCache>
                <c:formatCode>0.0</c:formatCode>
                <c:ptCount val="3"/>
                <c:pt idx="0">
                  <c:v>15.407407722713595</c:v>
                </c:pt>
                <c:pt idx="1">
                  <c:v>15.300750794921916</c:v>
                </c:pt>
                <c:pt idx="2">
                  <c:v>14.26550387809683</c:v>
                </c:pt>
              </c:numCache>
            </c:numRef>
          </c:xVal>
          <c:yVal>
            <c:numRef>
              <c:f>'k vs %Sat or WP'!$Q$2:$Q$4</c:f>
              <c:numCache>
                <c:formatCode>0.0000</c:formatCode>
                <c:ptCount val="3"/>
                <c:pt idx="0">
                  <c:v>0.10912330767236575</c:v>
                </c:pt>
                <c:pt idx="1">
                  <c:v>8.7341195109123887E-2</c:v>
                </c:pt>
                <c:pt idx="2">
                  <c:v>0.10681838574441054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5A-4A16-B3ED-9997F30F83D1}"/>
            </c:ext>
          </c:extLst>
        </c:ser>
        <c:ser>
          <c:idx val="1"/>
          <c:order val="1"/>
          <c:tx>
            <c:v>corn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'k vs %Sat or WP'!$I$5:$I$7</c:f>
              <c:numCache>
                <c:formatCode>0.0</c:formatCode>
                <c:ptCount val="3"/>
                <c:pt idx="0">
                  <c:v>16.876186492114339</c:v>
                </c:pt>
                <c:pt idx="1">
                  <c:v>17.183957190726318</c:v>
                </c:pt>
                <c:pt idx="2">
                  <c:v>16.426631830717241</c:v>
                </c:pt>
              </c:numCache>
            </c:numRef>
          </c:xVal>
          <c:yVal>
            <c:numRef>
              <c:f>'k vs %Sat or WP'!$Q$5:$Q$7</c:f>
              <c:numCache>
                <c:formatCode>0.0000</c:formatCode>
                <c:ptCount val="3"/>
                <c:pt idx="0">
                  <c:v>8.131248858293158E-2</c:v>
                </c:pt>
                <c:pt idx="1">
                  <c:v>0.10865688169403701</c:v>
                </c:pt>
                <c:pt idx="2">
                  <c:v>8.9388668869143068E-2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5A-4A16-B3ED-9997F30F83D1}"/>
            </c:ext>
          </c:extLst>
        </c:ser>
        <c:ser>
          <c:idx val="0"/>
          <c:order val="2"/>
          <c:tx>
            <c:strRef>
              <c:f>{"rosemary"}</c:f>
              <c:strCache>
                <c:ptCount val="1"/>
                <c:pt idx="0">
                  <c:v>rosemary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noFill/>
                <a:prstDash val="solid"/>
              </a:ln>
              <a:effectLst/>
            </c:spPr>
          </c:marker>
          <c:xVal>
            <c:numRef>
              <c:f>'k vs %Sat or WP'!$I$8:$I$10</c:f>
              <c:numCache>
                <c:formatCode>0.0</c:formatCode>
                <c:ptCount val="3"/>
                <c:pt idx="0">
                  <c:v>10.209152455248237</c:v>
                </c:pt>
                <c:pt idx="1">
                  <c:v>11.664728767164227</c:v>
                </c:pt>
                <c:pt idx="2">
                  <c:v>10.865457465694016</c:v>
                </c:pt>
              </c:numCache>
            </c:numRef>
          </c:xVal>
          <c:yVal>
            <c:numRef>
              <c:f>'k vs %Sat or WP'!$Q$8:$Q$10</c:f>
              <c:numCache>
                <c:formatCode>0.0000</c:formatCode>
                <c:ptCount val="3"/>
                <c:pt idx="0">
                  <c:v>8.0792730637439941E-2</c:v>
                </c:pt>
                <c:pt idx="1">
                  <c:v>8.2819595213386443E-2</c:v>
                </c:pt>
                <c:pt idx="2">
                  <c:v>8.8312403227895728E-2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5B-436E-BEC2-A97BCE494D56}"/>
            </c:ext>
          </c:extLst>
        </c:ser>
        <c:ser>
          <c:idx val="2"/>
          <c:order val="3"/>
          <c:tx>
            <c:v>oregano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'k vs %Sat or WP'!$I$11:$I$13</c:f>
              <c:numCache>
                <c:formatCode>0.0</c:formatCode>
                <c:ptCount val="3"/>
                <c:pt idx="0">
                  <c:v>15.4823203614691</c:v>
                </c:pt>
                <c:pt idx="1">
                  <c:v>14.165600436111264</c:v>
                </c:pt>
                <c:pt idx="2">
                  <c:v>14.626350705260592</c:v>
                </c:pt>
              </c:numCache>
            </c:numRef>
          </c:xVal>
          <c:yVal>
            <c:numRef>
              <c:f>'k vs %Sat or WP'!$Q$11:$Q$13</c:f>
              <c:numCache>
                <c:formatCode>0.0000</c:formatCode>
                <c:ptCount val="3"/>
                <c:pt idx="0">
                  <c:v>5.5305736328925235E-2</c:v>
                </c:pt>
                <c:pt idx="1">
                  <c:v>6.4473705914336044E-2</c:v>
                </c:pt>
                <c:pt idx="2">
                  <c:v>6.4164814647322904E-2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5A-4A16-B3ED-9997F30F83D1}"/>
            </c:ext>
          </c:extLst>
        </c:ser>
        <c:ser>
          <c:idx val="4"/>
          <c:order val="4"/>
          <c:tx>
            <c:v>sod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xVal>
            <c:numRef>
              <c:f>'k vs %Sat or WP'!$I$14:$I$16</c:f>
              <c:numCache>
                <c:formatCode>0.0</c:formatCode>
                <c:ptCount val="3"/>
                <c:pt idx="0">
                  <c:v>13.646929842937606</c:v>
                </c:pt>
                <c:pt idx="1">
                  <c:v>12.615697701261171</c:v>
                </c:pt>
                <c:pt idx="2">
                  <c:v>11.972902619915907</c:v>
                </c:pt>
              </c:numCache>
            </c:numRef>
          </c:xVal>
          <c:yVal>
            <c:numRef>
              <c:f>'k vs %Sat or WP'!$Q$14:$Q$16</c:f>
              <c:numCache>
                <c:formatCode>0.0000</c:formatCode>
                <c:ptCount val="3"/>
                <c:pt idx="0">
                  <c:v>0.11036339363685915</c:v>
                </c:pt>
                <c:pt idx="1">
                  <c:v>0.13059897275774127</c:v>
                </c:pt>
                <c:pt idx="2">
                  <c:v>0.12216871078761983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65A-4A16-B3ED-9997F30F83D1}"/>
            </c:ext>
          </c:extLst>
        </c:ser>
        <c:ser>
          <c:idx val="5"/>
          <c:order val="5"/>
          <c:tx>
            <c:v>buckwheat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'k vs %Sat or WP'!$I$17:$I$19</c:f>
              <c:numCache>
                <c:formatCode>0.0</c:formatCode>
                <c:ptCount val="3"/>
                <c:pt idx="0">
                  <c:v>15.126039040701745</c:v>
                </c:pt>
                <c:pt idx="1">
                  <c:v>14.46297121860826</c:v>
                </c:pt>
                <c:pt idx="2">
                  <c:v>16.040110864086916</c:v>
                </c:pt>
              </c:numCache>
            </c:numRef>
          </c:xVal>
          <c:yVal>
            <c:numRef>
              <c:f>'k vs %Sat or WP'!$Q$17:$Q$19</c:f>
              <c:numCache>
                <c:formatCode>0.0000</c:formatCode>
                <c:ptCount val="3"/>
                <c:pt idx="0">
                  <c:v>5.6895078033184325E-2</c:v>
                </c:pt>
                <c:pt idx="1">
                  <c:v>4.424850508134754E-2</c:v>
                </c:pt>
                <c:pt idx="2">
                  <c:v>5.3914008825809857E-2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65A-4A16-B3ED-9997F30F83D1}"/>
            </c:ext>
          </c:extLst>
        </c:ser>
        <c:ser>
          <c:idx val="6"/>
          <c:order val="6"/>
          <c:tx>
            <c:v>asparagus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'k vs %Sat or WP'!$I$20:$I$22</c:f>
              <c:numCache>
                <c:formatCode>0.0</c:formatCode>
                <c:ptCount val="3"/>
                <c:pt idx="0">
                  <c:v>38.498136879970147</c:v>
                </c:pt>
                <c:pt idx="1">
                  <c:v>34.834196116665971</c:v>
                </c:pt>
                <c:pt idx="2">
                  <c:v>34.125038754140128</c:v>
                </c:pt>
              </c:numCache>
            </c:numRef>
          </c:xVal>
          <c:yVal>
            <c:numRef>
              <c:f>'k vs %Sat or WP'!$Q$20:$Q$22</c:f>
              <c:numCache>
                <c:formatCode>0.0000</c:formatCode>
                <c:ptCount val="3"/>
                <c:pt idx="0">
                  <c:v>0.20375638150234768</c:v>
                </c:pt>
                <c:pt idx="1">
                  <c:v>0.22797594477398658</c:v>
                </c:pt>
                <c:pt idx="2">
                  <c:v>0.21631007670528557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65A-4A16-B3ED-9997F30F83D1}"/>
            </c:ext>
          </c:extLst>
        </c:ser>
        <c:ser>
          <c:idx val="7"/>
          <c:order val="7"/>
          <c:tx>
            <c:v>young cherry tree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noFill/>
              </a:ln>
              <a:effectLst/>
            </c:spPr>
          </c:marker>
          <c:xVal>
            <c:numRef>
              <c:f>'k vs %Sat or WP'!$I$23:$I$25</c:f>
              <c:numCache>
                <c:formatCode>0.0</c:formatCode>
                <c:ptCount val="3"/>
                <c:pt idx="0">
                  <c:v>31.953831900644627</c:v>
                </c:pt>
                <c:pt idx="1">
                  <c:v>30.549571213079055</c:v>
                </c:pt>
                <c:pt idx="2">
                  <c:v>25.382506093795751</c:v>
                </c:pt>
              </c:numCache>
            </c:numRef>
          </c:xVal>
          <c:yVal>
            <c:numRef>
              <c:f>'k vs %Sat or WP'!$Q$23:$Q$25</c:f>
              <c:numCache>
                <c:formatCode>0.0000</c:formatCode>
                <c:ptCount val="3"/>
                <c:pt idx="0">
                  <c:v>6.0303322034759702E-2</c:v>
                </c:pt>
                <c:pt idx="1">
                  <c:v>4.341783474303583E-2</c:v>
                </c:pt>
                <c:pt idx="2">
                  <c:v>3.423585529766212E-2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65A-4A16-B3ED-9997F30F83D1}"/>
            </c:ext>
          </c:extLst>
        </c:ser>
        <c:ser>
          <c:idx val="8"/>
          <c:order val="8"/>
          <c:tx>
            <c:v>sunflower - no tails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'k vs %Sat or WP'!$I$2:$I$4</c:f>
              <c:numCache>
                <c:formatCode>0.0</c:formatCode>
                <c:ptCount val="3"/>
                <c:pt idx="0">
                  <c:v>15.407407722713595</c:v>
                </c:pt>
                <c:pt idx="1">
                  <c:v>15.300750794921916</c:v>
                </c:pt>
                <c:pt idx="2">
                  <c:v>14.26550387809683</c:v>
                </c:pt>
              </c:numCache>
            </c:numRef>
          </c:xVal>
          <c:yVal>
            <c:numRef>
              <c:f>'k vs %Sat or WP'!$R$2:$R$4</c:f>
              <c:numCache>
                <c:formatCode>0.0000</c:formatCode>
                <c:ptCount val="3"/>
                <c:pt idx="0">
                  <c:v>0.11081865381431506</c:v>
                </c:pt>
                <c:pt idx="1">
                  <c:v>7.6579770853761095E-2</c:v>
                </c:pt>
                <c:pt idx="2">
                  <c:v>8.073900636532938E-2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75-4F2F-A8BC-972198D5DA82}"/>
            </c:ext>
          </c:extLst>
        </c:ser>
        <c:ser>
          <c:idx val="9"/>
          <c:order val="9"/>
          <c:tx>
            <c:v>corn - no tails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'k vs %Sat or WP'!$I$5:$I$7</c:f>
              <c:numCache>
                <c:formatCode>0.0</c:formatCode>
                <c:ptCount val="3"/>
                <c:pt idx="0">
                  <c:v>16.876186492114339</c:v>
                </c:pt>
                <c:pt idx="1">
                  <c:v>17.183957190726318</c:v>
                </c:pt>
                <c:pt idx="2">
                  <c:v>16.426631830717241</c:v>
                </c:pt>
              </c:numCache>
            </c:numRef>
          </c:xVal>
          <c:yVal>
            <c:numRef>
              <c:f>'k vs %Sat or WP'!$R$5:$R$7</c:f>
              <c:numCache>
                <c:formatCode>0.0000</c:formatCode>
                <c:ptCount val="3"/>
                <c:pt idx="0">
                  <c:v>2.9063482709548068E-2</c:v>
                </c:pt>
                <c:pt idx="1">
                  <c:v>0.11995904392759819</c:v>
                </c:pt>
                <c:pt idx="2">
                  <c:v>7.9247710417935144E-2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75-4F2F-A8BC-972198D5DA82}"/>
            </c:ext>
          </c:extLst>
        </c:ser>
        <c:ser>
          <c:idx val="10"/>
          <c:order val="10"/>
          <c:tx>
            <c:v>rosemary - no tails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'k vs %Sat or WP'!$I$8:$I$10</c:f>
              <c:numCache>
                <c:formatCode>0.0</c:formatCode>
                <c:ptCount val="3"/>
                <c:pt idx="0">
                  <c:v>10.209152455248237</c:v>
                </c:pt>
                <c:pt idx="1">
                  <c:v>11.664728767164227</c:v>
                </c:pt>
                <c:pt idx="2">
                  <c:v>10.865457465694016</c:v>
                </c:pt>
              </c:numCache>
            </c:numRef>
          </c:xVal>
          <c:yVal>
            <c:numRef>
              <c:f>'k vs %Sat or WP'!$R$8:$R$10</c:f>
              <c:numCache>
                <c:formatCode>0.0000</c:formatCode>
                <c:ptCount val="3"/>
                <c:pt idx="0">
                  <c:v>9.1775472133302255E-2</c:v>
                </c:pt>
                <c:pt idx="1">
                  <c:v>8.8471055999118586E-2</c:v>
                </c:pt>
                <c:pt idx="2">
                  <c:v>9.3618700071137095E-2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75-4F2F-A8BC-972198D5DA82}"/>
            </c:ext>
          </c:extLst>
        </c:ser>
        <c:ser>
          <c:idx val="11"/>
          <c:order val="11"/>
          <c:tx>
            <c:v>oregano - no tails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'k vs %Sat or WP'!$I$11:$I$13</c:f>
              <c:numCache>
                <c:formatCode>0.0</c:formatCode>
                <c:ptCount val="3"/>
                <c:pt idx="0">
                  <c:v>15.4823203614691</c:v>
                </c:pt>
                <c:pt idx="1">
                  <c:v>14.165600436111264</c:v>
                </c:pt>
                <c:pt idx="2">
                  <c:v>14.626350705260592</c:v>
                </c:pt>
              </c:numCache>
            </c:numRef>
          </c:xVal>
          <c:yVal>
            <c:numRef>
              <c:f>'k vs %Sat or WP'!$R$11:$R$13</c:f>
              <c:numCache>
                <c:formatCode>0.0000</c:formatCode>
                <c:ptCount val="3"/>
                <c:pt idx="0">
                  <c:v>6.6001262381257364E-2</c:v>
                </c:pt>
                <c:pt idx="1">
                  <c:v>6.9617231468959817E-2</c:v>
                </c:pt>
                <c:pt idx="2">
                  <c:v>5.4561678906605494E-2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75-4F2F-A8BC-972198D5DA82}"/>
            </c:ext>
          </c:extLst>
        </c:ser>
        <c:ser>
          <c:idx val="12"/>
          <c:order val="12"/>
          <c:tx>
            <c:v>sod - no tails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 vs %Sat or WP'!$I$14:$I$16</c:f>
              <c:numCache>
                <c:formatCode>0.0</c:formatCode>
                <c:ptCount val="3"/>
                <c:pt idx="0">
                  <c:v>13.646929842937606</c:v>
                </c:pt>
                <c:pt idx="1">
                  <c:v>12.615697701261171</c:v>
                </c:pt>
                <c:pt idx="2">
                  <c:v>11.972902619915907</c:v>
                </c:pt>
              </c:numCache>
            </c:numRef>
          </c:xVal>
          <c:yVal>
            <c:numRef>
              <c:f>'k vs %Sat or WP'!$R$14:$R$16</c:f>
              <c:numCache>
                <c:formatCode>0.0000</c:formatCode>
                <c:ptCount val="3"/>
                <c:pt idx="0">
                  <c:v>9.9097819592244146E-2</c:v>
                </c:pt>
                <c:pt idx="1">
                  <c:v>8.8814283849785403E-2</c:v>
                </c:pt>
                <c:pt idx="2">
                  <c:v>0.12051422692361925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975-4F2F-A8BC-972198D5DA82}"/>
            </c:ext>
          </c:extLst>
        </c:ser>
        <c:ser>
          <c:idx val="13"/>
          <c:order val="13"/>
          <c:tx>
            <c:v>buckwheat - no tails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'k vs %Sat or WP'!$I$17:$I$19</c:f>
              <c:numCache>
                <c:formatCode>0.0</c:formatCode>
                <c:ptCount val="3"/>
                <c:pt idx="0">
                  <c:v>15.126039040701745</c:v>
                </c:pt>
                <c:pt idx="1">
                  <c:v>14.46297121860826</c:v>
                </c:pt>
                <c:pt idx="2">
                  <c:v>16.040110864086916</c:v>
                </c:pt>
              </c:numCache>
            </c:numRef>
          </c:xVal>
          <c:yVal>
            <c:numRef>
              <c:f>'k vs %Sat or WP'!$R$17:$R$19</c:f>
              <c:numCache>
                <c:formatCode>0.0000</c:formatCode>
                <c:ptCount val="3"/>
                <c:pt idx="0">
                  <c:v>6.5894636676838989E-3</c:v>
                </c:pt>
                <c:pt idx="1">
                  <c:v>4.4324073914789722E-2</c:v>
                </c:pt>
                <c:pt idx="2">
                  <c:v>4.3746721320505506E-2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975-4F2F-A8BC-972198D5DA82}"/>
            </c:ext>
          </c:extLst>
        </c:ser>
        <c:ser>
          <c:idx val="14"/>
          <c:order val="14"/>
          <c:tx>
            <c:v>asparagus - no tails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'k vs %Sat or WP'!$I$20:$I$22</c:f>
              <c:numCache>
                <c:formatCode>0.0</c:formatCode>
                <c:ptCount val="3"/>
                <c:pt idx="0">
                  <c:v>38.498136879970147</c:v>
                </c:pt>
                <c:pt idx="1">
                  <c:v>34.834196116665971</c:v>
                </c:pt>
                <c:pt idx="2">
                  <c:v>34.125038754140128</c:v>
                </c:pt>
              </c:numCache>
            </c:numRef>
          </c:xVal>
          <c:yVal>
            <c:numRef>
              <c:f>'k vs %Sat or WP'!$R$20:$R$22</c:f>
              <c:numCache>
                <c:formatCode>0.0000</c:formatCode>
                <c:ptCount val="3"/>
                <c:pt idx="0">
                  <c:v>0.14961241664658462</c:v>
                </c:pt>
                <c:pt idx="1">
                  <c:v>0.18076601304734247</c:v>
                </c:pt>
                <c:pt idx="2">
                  <c:v>0.23232224699480314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975-4F2F-A8BC-972198D5DA82}"/>
            </c:ext>
          </c:extLst>
        </c:ser>
        <c:ser>
          <c:idx val="15"/>
          <c:order val="15"/>
          <c:tx>
            <c:v>cherry tree - no tails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'k vs %Sat or WP'!$I$23:$I$25</c:f>
              <c:numCache>
                <c:formatCode>0.0</c:formatCode>
                <c:ptCount val="3"/>
                <c:pt idx="0">
                  <c:v>31.953831900644627</c:v>
                </c:pt>
                <c:pt idx="1">
                  <c:v>30.549571213079055</c:v>
                </c:pt>
                <c:pt idx="2">
                  <c:v>25.382506093795751</c:v>
                </c:pt>
              </c:numCache>
            </c:numRef>
          </c:xVal>
          <c:yVal>
            <c:numRef>
              <c:f>'k vs %Sat or WP'!$L$23:$L$25</c:f>
              <c:numCache>
                <c:formatCode>0.00000</c:formatCode>
                <c:ptCount val="3"/>
                <c:pt idx="0">
                  <c:v>1.4044846596768716E-3</c:v>
                </c:pt>
                <c:pt idx="1">
                  <c:v>3.3351343253007638E-3</c:v>
                </c:pt>
                <c:pt idx="2">
                  <c:v>2.4331047685663453E-4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975-4F2F-A8BC-972198D5D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280144"/>
        <c:axId val="1033281856"/>
      </c:scatterChart>
      <c:valAx>
        <c:axId val="1033280144"/>
        <c:scaling>
          <c:orientation val="minMax"/>
          <c:max val="40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%</a:t>
                </a:r>
                <a:r>
                  <a:rPr lang="zh-CN" altLang="en-US" sz="1800"/>
                  <a:t> </a:t>
                </a:r>
                <a:r>
                  <a:rPr lang="en-US" altLang="zh-CN" sz="1800"/>
                  <a:t>Saturation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3281856"/>
        <c:crosses val="autoZero"/>
        <c:crossBetween val="midCat"/>
      </c:valAx>
      <c:valAx>
        <c:axId val="10332818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k (min-1 g OM-1)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3280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44189753958924"/>
          <c:y val="0.12356708931438216"/>
          <c:w val="0.22047695222029259"/>
          <c:h val="0.866122527540957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000"/>
              <a:t>Agricultural SOC Normalized k vs final %Saturation - Fairgrown Farm Soils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v>sunflower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'k vs %Sat or WP'!$I$2:$I$4</c:f>
              <c:numCache>
                <c:formatCode>0.0</c:formatCode>
                <c:ptCount val="3"/>
                <c:pt idx="0">
                  <c:v>15.407407722713595</c:v>
                </c:pt>
                <c:pt idx="1">
                  <c:v>15.300750794921916</c:v>
                </c:pt>
                <c:pt idx="2">
                  <c:v>14.26550387809683</c:v>
                </c:pt>
              </c:numCache>
            </c:numRef>
          </c:xVal>
          <c:yVal>
            <c:numRef>
              <c:f>'k vs %Sat or WP'!$Q$2:$Q$4</c:f>
              <c:numCache>
                <c:formatCode>0.0000</c:formatCode>
                <c:ptCount val="3"/>
                <c:pt idx="0">
                  <c:v>0.10912330767236575</c:v>
                </c:pt>
                <c:pt idx="1">
                  <c:v>8.7341195109123887E-2</c:v>
                </c:pt>
                <c:pt idx="2">
                  <c:v>0.10681838574441054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39-46D8-965A-B716FBEF9D78}"/>
            </c:ext>
          </c:extLst>
        </c:ser>
        <c:ser>
          <c:idx val="1"/>
          <c:order val="1"/>
          <c:tx>
            <c:v>corn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'k vs %Sat or WP'!$I$5:$I$7</c:f>
              <c:numCache>
                <c:formatCode>0.0</c:formatCode>
                <c:ptCount val="3"/>
                <c:pt idx="0">
                  <c:v>16.876186492114339</c:v>
                </c:pt>
                <c:pt idx="1">
                  <c:v>17.183957190726318</c:v>
                </c:pt>
                <c:pt idx="2">
                  <c:v>16.426631830717241</c:v>
                </c:pt>
              </c:numCache>
            </c:numRef>
          </c:xVal>
          <c:yVal>
            <c:numRef>
              <c:f>'k vs %Sat or WP'!$Q$5:$Q$7</c:f>
              <c:numCache>
                <c:formatCode>0.0000</c:formatCode>
                <c:ptCount val="3"/>
                <c:pt idx="0">
                  <c:v>8.131248858293158E-2</c:v>
                </c:pt>
                <c:pt idx="1">
                  <c:v>0.10865688169403701</c:v>
                </c:pt>
                <c:pt idx="2">
                  <c:v>8.9388668869143068E-2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39-46D8-965A-B716FBEF9D78}"/>
            </c:ext>
          </c:extLst>
        </c:ser>
        <c:ser>
          <c:idx val="0"/>
          <c:order val="2"/>
          <c:tx>
            <c:strRef>
              <c:f>{"rosemary"}</c:f>
              <c:strCache>
                <c:ptCount val="1"/>
                <c:pt idx="0">
                  <c:v>rosemary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D86DCD"/>
              </a:solidFill>
              <a:ln w="9525">
                <a:solidFill>
                  <a:srgbClr val="D86DCD"/>
                </a:solidFill>
                <a:prstDash val="solid"/>
              </a:ln>
              <a:effectLst/>
            </c:spPr>
          </c:marker>
          <c:xVal>
            <c:numRef>
              <c:f>'k vs %Sat or WP'!$I$8:$I$10</c:f>
              <c:numCache>
                <c:formatCode>0.0</c:formatCode>
                <c:ptCount val="3"/>
                <c:pt idx="0">
                  <c:v>10.209152455248237</c:v>
                </c:pt>
                <c:pt idx="1">
                  <c:v>11.664728767164227</c:v>
                </c:pt>
                <c:pt idx="2">
                  <c:v>10.865457465694016</c:v>
                </c:pt>
              </c:numCache>
            </c:numRef>
          </c:xVal>
          <c:yVal>
            <c:numRef>
              <c:f>'k vs %Sat or WP'!$Q$8:$Q$10</c:f>
              <c:numCache>
                <c:formatCode>0.0000</c:formatCode>
                <c:ptCount val="3"/>
                <c:pt idx="0">
                  <c:v>8.0792730637439941E-2</c:v>
                </c:pt>
                <c:pt idx="1">
                  <c:v>8.2819595213386443E-2</c:v>
                </c:pt>
                <c:pt idx="2">
                  <c:v>8.8312403227895728E-2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39-46D8-965A-B716FBEF9D78}"/>
            </c:ext>
          </c:extLst>
        </c:ser>
        <c:ser>
          <c:idx val="2"/>
          <c:order val="3"/>
          <c:tx>
            <c:v>oregano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'k vs %Sat or WP'!$I$11:$I$13</c:f>
              <c:numCache>
                <c:formatCode>0.0</c:formatCode>
                <c:ptCount val="3"/>
                <c:pt idx="0">
                  <c:v>15.4823203614691</c:v>
                </c:pt>
                <c:pt idx="1">
                  <c:v>14.165600436111264</c:v>
                </c:pt>
                <c:pt idx="2">
                  <c:v>14.626350705260592</c:v>
                </c:pt>
              </c:numCache>
            </c:numRef>
          </c:xVal>
          <c:yVal>
            <c:numRef>
              <c:f>'k vs %Sat or WP'!$Q$11:$Q$13</c:f>
              <c:numCache>
                <c:formatCode>0.0000</c:formatCode>
                <c:ptCount val="3"/>
                <c:pt idx="0">
                  <c:v>5.5305736328925235E-2</c:v>
                </c:pt>
                <c:pt idx="1">
                  <c:v>6.4473705914336044E-2</c:v>
                </c:pt>
                <c:pt idx="2">
                  <c:v>6.4164814647322904E-2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39-46D8-965A-B716FBEF9D78}"/>
            </c:ext>
          </c:extLst>
        </c:ser>
        <c:ser>
          <c:idx val="4"/>
          <c:order val="4"/>
          <c:tx>
            <c:v>sod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'k vs %Sat or WP'!$I$14:$I$16</c:f>
              <c:numCache>
                <c:formatCode>0.0</c:formatCode>
                <c:ptCount val="3"/>
                <c:pt idx="0">
                  <c:v>13.646929842937606</c:v>
                </c:pt>
                <c:pt idx="1">
                  <c:v>12.615697701261171</c:v>
                </c:pt>
                <c:pt idx="2">
                  <c:v>11.972902619915907</c:v>
                </c:pt>
              </c:numCache>
            </c:numRef>
          </c:xVal>
          <c:yVal>
            <c:numRef>
              <c:f>'k vs %Sat or WP'!$Q$14:$Q$16</c:f>
              <c:numCache>
                <c:formatCode>0.0000</c:formatCode>
                <c:ptCount val="3"/>
                <c:pt idx="0">
                  <c:v>0.11036339363685915</c:v>
                </c:pt>
                <c:pt idx="1">
                  <c:v>0.13059897275774127</c:v>
                </c:pt>
                <c:pt idx="2">
                  <c:v>0.12216871078761983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939-46D8-965A-B716FBEF9D78}"/>
            </c:ext>
          </c:extLst>
        </c:ser>
        <c:ser>
          <c:idx val="5"/>
          <c:order val="5"/>
          <c:tx>
            <c:v>buckwheat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'k vs %Sat or WP'!$I$17:$I$19</c:f>
              <c:numCache>
                <c:formatCode>0.0</c:formatCode>
                <c:ptCount val="3"/>
                <c:pt idx="0">
                  <c:v>15.126039040701745</c:v>
                </c:pt>
                <c:pt idx="1">
                  <c:v>14.46297121860826</c:v>
                </c:pt>
                <c:pt idx="2">
                  <c:v>16.040110864086916</c:v>
                </c:pt>
              </c:numCache>
            </c:numRef>
          </c:xVal>
          <c:yVal>
            <c:numRef>
              <c:f>'k vs %Sat or WP'!$Q$17:$Q$19</c:f>
              <c:numCache>
                <c:formatCode>0.0000</c:formatCode>
                <c:ptCount val="3"/>
                <c:pt idx="0">
                  <c:v>5.6895078033184325E-2</c:v>
                </c:pt>
                <c:pt idx="1">
                  <c:v>4.424850508134754E-2</c:v>
                </c:pt>
                <c:pt idx="2">
                  <c:v>5.3914008825809857E-2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939-46D8-965A-B716FBEF9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280144"/>
        <c:axId val="1033281856"/>
      </c:scatterChart>
      <c:valAx>
        <c:axId val="103328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%</a:t>
                </a:r>
                <a:r>
                  <a:rPr lang="zh-CN" altLang="en-US" sz="1800"/>
                  <a:t> </a:t>
                </a:r>
                <a:r>
                  <a:rPr lang="en-US" altLang="zh-CN" sz="1800"/>
                  <a:t>Saturation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3281856"/>
        <c:crosses val="autoZero"/>
        <c:crossBetween val="midCat"/>
      </c:valAx>
      <c:valAx>
        <c:axId val="10332818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k (min-1 g OM-1)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3280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811484700951778"/>
          <c:y val="0.18557272058108179"/>
          <c:w val="0.24067285493900153"/>
          <c:h val="0.59072427800733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000"/>
              <a:t>Agricultural</a:t>
            </a:r>
            <a:r>
              <a:rPr lang="zh-CN" altLang="en-US" sz="2000"/>
              <a:t> </a:t>
            </a:r>
            <a:r>
              <a:rPr lang="en-US" altLang="zh-CN" sz="2000"/>
              <a:t>Weight</a:t>
            </a:r>
            <a:r>
              <a:rPr lang="zh-CN" altLang="en-US" sz="2000"/>
              <a:t> </a:t>
            </a:r>
            <a:r>
              <a:rPr lang="en-US" altLang="zh-CN" sz="2000"/>
              <a:t>and</a:t>
            </a:r>
            <a:r>
              <a:rPr lang="zh-CN" altLang="en-US" sz="2000"/>
              <a:t> </a:t>
            </a:r>
            <a:r>
              <a:rPr lang="en-US" altLang="zh-CN" sz="2000"/>
              <a:t>SOC%</a:t>
            </a:r>
            <a:r>
              <a:rPr lang="zh-CN" altLang="en-US" sz="2000"/>
              <a:t> </a:t>
            </a:r>
            <a:r>
              <a:rPr lang="en-US" altLang="zh-CN" sz="2000"/>
              <a:t>Normalized</a:t>
            </a:r>
            <a:r>
              <a:rPr lang="zh-CN" altLang="en-US" sz="2000"/>
              <a:t> </a:t>
            </a:r>
            <a:r>
              <a:rPr lang="en-US" altLang="zh-CN" sz="2000"/>
              <a:t>k</a:t>
            </a:r>
            <a:r>
              <a:rPr lang="zh-CN" altLang="en-US" sz="2000"/>
              <a:t> </a:t>
            </a:r>
            <a:r>
              <a:rPr lang="en-US" altLang="zh-CN" sz="2000"/>
              <a:t>vs</a:t>
            </a:r>
            <a:r>
              <a:rPr lang="zh-CN" altLang="en-US" sz="2000"/>
              <a:t> </a:t>
            </a:r>
            <a:r>
              <a:rPr lang="en-US" altLang="zh-CN" sz="2000"/>
              <a:t>final</a:t>
            </a:r>
            <a:r>
              <a:rPr lang="zh-CN" altLang="en-US" sz="2000" baseline="0"/>
              <a:t> </a:t>
            </a:r>
            <a:r>
              <a:rPr lang="en-US" altLang="zh-CN" sz="2000"/>
              <a:t>WP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v>sunflower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'k vs %Sat or WP'!$J$2:$J$4</c:f>
              <c:numCache>
                <c:formatCode>General</c:formatCode>
                <c:ptCount val="3"/>
                <c:pt idx="0">
                  <c:v>-2.37</c:v>
                </c:pt>
                <c:pt idx="1">
                  <c:v>-2.2000000000000002</c:v>
                </c:pt>
                <c:pt idx="2">
                  <c:v>-2.35</c:v>
                </c:pt>
              </c:numCache>
            </c:numRef>
          </c:xVal>
          <c:yVal>
            <c:numRef>
              <c:f>'k vs %Sat or WP'!$Q$2:$Q$4</c:f>
              <c:numCache>
                <c:formatCode>0.0000</c:formatCode>
                <c:ptCount val="3"/>
                <c:pt idx="0">
                  <c:v>0.10912330767236575</c:v>
                </c:pt>
                <c:pt idx="1">
                  <c:v>8.7341195109123887E-2</c:v>
                </c:pt>
                <c:pt idx="2">
                  <c:v>0.10681838574441054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06-4042-AF2C-D997D1D73F53}"/>
            </c:ext>
          </c:extLst>
        </c:ser>
        <c:ser>
          <c:idx val="1"/>
          <c:order val="1"/>
          <c:tx>
            <c:v>corn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'k vs %Sat or WP'!$J$5:$J$7</c:f>
              <c:numCache>
                <c:formatCode>General</c:formatCode>
                <c:ptCount val="3"/>
                <c:pt idx="0">
                  <c:v>-2.25</c:v>
                </c:pt>
                <c:pt idx="1">
                  <c:v>-2.33</c:v>
                </c:pt>
                <c:pt idx="2">
                  <c:v>-2.4900000000000002</c:v>
                </c:pt>
              </c:numCache>
            </c:numRef>
          </c:xVal>
          <c:yVal>
            <c:numRef>
              <c:f>'k vs %Sat or WP'!$Q$5:$Q$7</c:f>
              <c:numCache>
                <c:formatCode>0.0000</c:formatCode>
                <c:ptCount val="3"/>
                <c:pt idx="0">
                  <c:v>8.131248858293158E-2</c:v>
                </c:pt>
                <c:pt idx="1">
                  <c:v>0.10865688169403701</c:v>
                </c:pt>
                <c:pt idx="2">
                  <c:v>8.9388668869143068E-2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06-4042-AF2C-D997D1D73F53}"/>
            </c:ext>
          </c:extLst>
        </c:ser>
        <c:ser>
          <c:idx val="0"/>
          <c:order val="2"/>
          <c:tx>
            <c:v>rosemary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D86DCD"/>
              </a:solidFill>
              <a:ln w="25400">
                <a:noFill/>
              </a:ln>
              <a:effectLst/>
            </c:spPr>
          </c:marker>
          <c:xVal>
            <c:numRef>
              <c:f>'k vs %Sat or WP'!$J$8:$J$10</c:f>
              <c:numCache>
                <c:formatCode>General</c:formatCode>
                <c:ptCount val="3"/>
                <c:pt idx="0">
                  <c:v>-3.51</c:v>
                </c:pt>
                <c:pt idx="1">
                  <c:v>-3.33</c:v>
                </c:pt>
                <c:pt idx="2">
                  <c:v>-3.32</c:v>
                </c:pt>
              </c:numCache>
            </c:numRef>
          </c:xVal>
          <c:yVal>
            <c:numRef>
              <c:f>'k vs %Sat or WP'!$Q$8:$Q$10</c:f>
              <c:numCache>
                <c:formatCode>0.0000</c:formatCode>
                <c:ptCount val="3"/>
                <c:pt idx="0">
                  <c:v>8.0792730637439941E-2</c:v>
                </c:pt>
                <c:pt idx="1">
                  <c:v>8.2819595213386443E-2</c:v>
                </c:pt>
                <c:pt idx="2">
                  <c:v>8.8312403227895728E-2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06-4042-AF2C-D997D1D73F53}"/>
            </c:ext>
          </c:extLst>
        </c:ser>
        <c:ser>
          <c:idx val="2"/>
          <c:order val="3"/>
          <c:tx>
            <c:v>oregano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'k vs %Sat or WP'!$J$11:$J$13</c:f>
              <c:numCache>
                <c:formatCode>General</c:formatCode>
                <c:ptCount val="3"/>
                <c:pt idx="0">
                  <c:v>-2.63</c:v>
                </c:pt>
                <c:pt idx="1">
                  <c:v>-3.24</c:v>
                </c:pt>
                <c:pt idx="2">
                  <c:v>-3.22</c:v>
                </c:pt>
              </c:numCache>
            </c:numRef>
          </c:xVal>
          <c:yVal>
            <c:numRef>
              <c:f>'k vs %Sat or WP'!$Q$11:$Q$13</c:f>
              <c:numCache>
                <c:formatCode>0.0000</c:formatCode>
                <c:ptCount val="3"/>
                <c:pt idx="0">
                  <c:v>5.5305736328925235E-2</c:v>
                </c:pt>
                <c:pt idx="1">
                  <c:v>6.4473705914336044E-2</c:v>
                </c:pt>
                <c:pt idx="2">
                  <c:v>6.4164814647322904E-2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06-4042-AF2C-D997D1D73F53}"/>
            </c:ext>
          </c:extLst>
        </c:ser>
        <c:ser>
          <c:idx val="4"/>
          <c:order val="4"/>
          <c:tx>
            <c:v>sod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'k vs %Sat or WP'!$J$14:$J$16</c:f>
              <c:numCache>
                <c:formatCode>General</c:formatCode>
                <c:ptCount val="3"/>
                <c:pt idx="0">
                  <c:v>-2.5499999999999998</c:v>
                </c:pt>
                <c:pt idx="1">
                  <c:v>-3.42</c:v>
                </c:pt>
                <c:pt idx="2">
                  <c:v>-4</c:v>
                </c:pt>
              </c:numCache>
            </c:numRef>
          </c:xVal>
          <c:yVal>
            <c:numRef>
              <c:f>'k vs %Sat or WP'!$Q$14:$Q$16</c:f>
              <c:numCache>
                <c:formatCode>0.0000</c:formatCode>
                <c:ptCount val="3"/>
                <c:pt idx="0">
                  <c:v>0.11036339363685915</c:v>
                </c:pt>
                <c:pt idx="1">
                  <c:v>0.13059897275774127</c:v>
                </c:pt>
                <c:pt idx="2">
                  <c:v>0.12216871078761983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F06-4042-AF2C-D997D1D73F53}"/>
            </c:ext>
          </c:extLst>
        </c:ser>
        <c:ser>
          <c:idx val="5"/>
          <c:order val="5"/>
          <c:tx>
            <c:v>buckwheat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'k vs %Sat or WP'!$J$17:$J$19</c:f>
              <c:numCache>
                <c:formatCode>General</c:formatCode>
                <c:ptCount val="3"/>
                <c:pt idx="0">
                  <c:v>-1.74</c:v>
                </c:pt>
                <c:pt idx="1">
                  <c:v>-1.83</c:v>
                </c:pt>
                <c:pt idx="2">
                  <c:v>-1.57</c:v>
                </c:pt>
              </c:numCache>
            </c:numRef>
          </c:xVal>
          <c:yVal>
            <c:numRef>
              <c:f>'k vs %Sat or WP'!$Q$17:$Q$19</c:f>
              <c:numCache>
                <c:formatCode>0.0000</c:formatCode>
                <c:ptCount val="3"/>
                <c:pt idx="0">
                  <c:v>5.6895078033184325E-2</c:v>
                </c:pt>
                <c:pt idx="1">
                  <c:v>4.424850508134754E-2</c:v>
                </c:pt>
                <c:pt idx="2">
                  <c:v>5.3914008825809857E-2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F06-4042-AF2C-D997D1D73F53}"/>
            </c:ext>
          </c:extLst>
        </c:ser>
        <c:ser>
          <c:idx val="6"/>
          <c:order val="6"/>
          <c:tx>
            <c:v>asparagus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'k vs %Sat or WP'!$J$20:$J$22</c:f>
              <c:numCache>
                <c:formatCode>General</c:formatCode>
                <c:ptCount val="3"/>
                <c:pt idx="0">
                  <c:v>-0.15</c:v>
                </c:pt>
                <c:pt idx="1">
                  <c:v>-0.3</c:v>
                </c:pt>
                <c:pt idx="2">
                  <c:v>-0.28999999999999998</c:v>
                </c:pt>
              </c:numCache>
            </c:numRef>
          </c:xVal>
          <c:yVal>
            <c:numRef>
              <c:f>'k vs %Sat or WP'!$Q$20:$Q$22</c:f>
              <c:numCache>
                <c:formatCode>0.0000</c:formatCode>
                <c:ptCount val="3"/>
                <c:pt idx="0">
                  <c:v>0.20375638150234768</c:v>
                </c:pt>
                <c:pt idx="1">
                  <c:v>0.22797594477398658</c:v>
                </c:pt>
                <c:pt idx="2">
                  <c:v>0.21631007670528557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F06-4042-AF2C-D997D1D73F53}"/>
            </c:ext>
          </c:extLst>
        </c:ser>
        <c:ser>
          <c:idx val="7"/>
          <c:order val="7"/>
          <c:tx>
            <c:v>young cherry tree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'k vs %Sat or WP'!$J$23:$J$25</c:f>
              <c:numCache>
                <c:formatCode>General</c:formatCode>
                <c:ptCount val="3"/>
                <c:pt idx="0">
                  <c:v>-0.44</c:v>
                </c:pt>
                <c:pt idx="1">
                  <c:v>-0.79</c:v>
                </c:pt>
                <c:pt idx="2">
                  <c:v>-1.1100000000000001</c:v>
                </c:pt>
              </c:numCache>
            </c:numRef>
          </c:xVal>
          <c:yVal>
            <c:numRef>
              <c:f>'k vs %Sat or WP'!$Q$23:$Q$25</c:f>
              <c:numCache>
                <c:formatCode>0.0000</c:formatCode>
                <c:ptCount val="3"/>
                <c:pt idx="0">
                  <c:v>6.0303322034759702E-2</c:v>
                </c:pt>
                <c:pt idx="1">
                  <c:v>4.341783474303583E-2</c:v>
                </c:pt>
                <c:pt idx="2">
                  <c:v>3.423585529766212E-2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F06-4042-AF2C-D997D1D73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280144"/>
        <c:axId val="1033281856"/>
      </c:scatterChart>
      <c:valAx>
        <c:axId val="103328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WP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3281856"/>
        <c:crosses val="autoZero"/>
        <c:crossBetween val="midCat"/>
      </c:valAx>
      <c:valAx>
        <c:axId val="10332818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k</a:t>
                </a:r>
                <a:r>
                  <a:rPr lang="zh-CN" altLang="en-US" sz="1800"/>
                  <a:t> </a:t>
                </a:r>
                <a:r>
                  <a:rPr lang="en-US" altLang="zh-CN" sz="1800"/>
                  <a:t>(min</a:t>
                </a:r>
                <a:r>
                  <a:rPr lang="en-US" altLang="zh-CN" sz="1800" baseline="30000"/>
                  <a:t>-1</a:t>
                </a:r>
                <a:r>
                  <a:rPr lang="en-US" altLang="zh-CN" sz="1800"/>
                  <a:t>gSOC-1)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3280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000"/>
              <a:t>Agricultural Weight</a:t>
            </a:r>
            <a:r>
              <a:rPr lang="zh-CN" altLang="en-US" sz="2000"/>
              <a:t> </a:t>
            </a:r>
            <a:r>
              <a:rPr lang="en-US" altLang="zh-CN" sz="2000"/>
              <a:t>and</a:t>
            </a:r>
            <a:r>
              <a:rPr lang="zh-CN" altLang="en-US" sz="2000"/>
              <a:t> </a:t>
            </a:r>
            <a:r>
              <a:rPr lang="en-US" altLang="zh-CN" sz="2000"/>
              <a:t>SOC Normalized k vs final %Saturation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84968063890012"/>
          <c:y val="0.13579956493931031"/>
          <c:w val="0.59739001775044609"/>
          <c:h val="0.67530367031969107"/>
        </c:manualLayout>
      </c:layout>
      <c:scatterChart>
        <c:scatterStyle val="lineMarker"/>
        <c:varyColors val="0"/>
        <c:ser>
          <c:idx val="3"/>
          <c:order val="0"/>
          <c:tx>
            <c:v>sunflower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'k vs %Sat or WP'!$I$2:$I$4</c:f>
              <c:numCache>
                <c:formatCode>0.0</c:formatCode>
                <c:ptCount val="3"/>
                <c:pt idx="0">
                  <c:v>15.407407722713595</c:v>
                </c:pt>
                <c:pt idx="1">
                  <c:v>15.300750794921916</c:v>
                </c:pt>
                <c:pt idx="2">
                  <c:v>14.26550387809683</c:v>
                </c:pt>
              </c:numCache>
            </c:numRef>
          </c:xVal>
          <c:yVal>
            <c:numRef>
              <c:f>'k vs %Sat or WP'!$Q$2:$Q$4</c:f>
              <c:numCache>
                <c:formatCode>0.0000</c:formatCode>
                <c:ptCount val="3"/>
                <c:pt idx="0">
                  <c:v>0.10912330767236575</c:v>
                </c:pt>
                <c:pt idx="1">
                  <c:v>8.7341195109123887E-2</c:v>
                </c:pt>
                <c:pt idx="2">
                  <c:v>0.10681838574441054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0B-482F-BC25-FE3B2ADFEC2F}"/>
            </c:ext>
          </c:extLst>
        </c:ser>
        <c:ser>
          <c:idx val="1"/>
          <c:order val="1"/>
          <c:tx>
            <c:v>corn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'k vs %Sat or WP'!$I$5:$I$7</c:f>
              <c:numCache>
                <c:formatCode>0.0</c:formatCode>
                <c:ptCount val="3"/>
                <c:pt idx="0">
                  <c:v>16.876186492114339</c:v>
                </c:pt>
                <c:pt idx="1">
                  <c:v>17.183957190726318</c:v>
                </c:pt>
                <c:pt idx="2">
                  <c:v>16.426631830717241</c:v>
                </c:pt>
              </c:numCache>
            </c:numRef>
          </c:xVal>
          <c:yVal>
            <c:numRef>
              <c:f>'k vs %Sat or WP'!$Q$5:$Q$7</c:f>
              <c:numCache>
                <c:formatCode>0.0000</c:formatCode>
                <c:ptCount val="3"/>
                <c:pt idx="0">
                  <c:v>8.131248858293158E-2</c:v>
                </c:pt>
                <c:pt idx="1">
                  <c:v>0.10865688169403701</c:v>
                </c:pt>
                <c:pt idx="2">
                  <c:v>8.9388668869143068E-2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0B-482F-BC25-FE3B2ADFEC2F}"/>
            </c:ext>
          </c:extLst>
        </c:ser>
        <c:ser>
          <c:idx val="0"/>
          <c:order val="2"/>
          <c:tx>
            <c:strRef>
              <c:f>{"rosemary"}</c:f>
              <c:strCache>
                <c:ptCount val="1"/>
                <c:pt idx="0">
                  <c:v>rosemary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noFill/>
                <a:prstDash val="solid"/>
              </a:ln>
              <a:effectLst/>
            </c:spPr>
          </c:marker>
          <c:xVal>
            <c:numRef>
              <c:f>'k vs %Sat or WP'!$I$8:$I$10</c:f>
              <c:numCache>
                <c:formatCode>0.0</c:formatCode>
                <c:ptCount val="3"/>
                <c:pt idx="0">
                  <c:v>10.209152455248237</c:v>
                </c:pt>
                <c:pt idx="1">
                  <c:v>11.664728767164227</c:v>
                </c:pt>
                <c:pt idx="2">
                  <c:v>10.865457465694016</c:v>
                </c:pt>
              </c:numCache>
            </c:numRef>
          </c:xVal>
          <c:yVal>
            <c:numRef>
              <c:f>'k vs %Sat or WP'!$Q$8:$Q$10</c:f>
              <c:numCache>
                <c:formatCode>0.0000</c:formatCode>
                <c:ptCount val="3"/>
                <c:pt idx="0">
                  <c:v>8.0792730637439941E-2</c:v>
                </c:pt>
                <c:pt idx="1">
                  <c:v>8.2819595213386443E-2</c:v>
                </c:pt>
                <c:pt idx="2">
                  <c:v>8.8312403227895728E-2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0B-482F-BC25-FE3B2ADFEC2F}"/>
            </c:ext>
          </c:extLst>
        </c:ser>
        <c:ser>
          <c:idx val="2"/>
          <c:order val="3"/>
          <c:tx>
            <c:v>oregano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'k vs %Sat or WP'!$I$11:$I$13</c:f>
              <c:numCache>
                <c:formatCode>0.0</c:formatCode>
                <c:ptCount val="3"/>
                <c:pt idx="0">
                  <c:v>15.4823203614691</c:v>
                </c:pt>
                <c:pt idx="1">
                  <c:v>14.165600436111264</c:v>
                </c:pt>
                <c:pt idx="2">
                  <c:v>14.626350705260592</c:v>
                </c:pt>
              </c:numCache>
            </c:numRef>
          </c:xVal>
          <c:yVal>
            <c:numRef>
              <c:f>'k vs %Sat or WP'!$Q$11:$Q$13</c:f>
              <c:numCache>
                <c:formatCode>0.0000</c:formatCode>
                <c:ptCount val="3"/>
                <c:pt idx="0">
                  <c:v>5.5305736328925235E-2</c:v>
                </c:pt>
                <c:pt idx="1">
                  <c:v>6.4473705914336044E-2</c:v>
                </c:pt>
                <c:pt idx="2">
                  <c:v>6.4164814647322904E-2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0B-482F-BC25-FE3B2ADFEC2F}"/>
            </c:ext>
          </c:extLst>
        </c:ser>
        <c:ser>
          <c:idx val="4"/>
          <c:order val="4"/>
          <c:tx>
            <c:v>sod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xVal>
            <c:numRef>
              <c:f>'k vs %Sat or WP'!$I$14:$I$16</c:f>
              <c:numCache>
                <c:formatCode>0.0</c:formatCode>
                <c:ptCount val="3"/>
                <c:pt idx="0">
                  <c:v>13.646929842937606</c:v>
                </c:pt>
                <c:pt idx="1">
                  <c:v>12.615697701261171</c:v>
                </c:pt>
                <c:pt idx="2">
                  <c:v>11.972902619915907</c:v>
                </c:pt>
              </c:numCache>
            </c:numRef>
          </c:xVal>
          <c:yVal>
            <c:numRef>
              <c:f>'k vs %Sat or WP'!$Q$14:$Q$16</c:f>
              <c:numCache>
                <c:formatCode>0.0000</c:formatCode>
                <c:ptCount val="3"/>
                <c:pt idx="0">
                  <c:v>0.11036339363685915</c:v>
                </c:pt>
                <c:pt idx="1">
                  <c:v>0.13059897275774127</c:v>
                </c:pt>
                <c:pt idx="2">
                  <c:v>0.12216871078761983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70B-482F-BC25-FE3B2ADFEC2F}"/>
            </c:ext>
          </c:extLst>
        </c:ser>
        <c:ser>
          <c:idx val="5"/>
          <c:order val="5"/>
          <c:tx>
            <c:v>buckwheat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'k vs %Sat or WP'!$I$17:$I$19</c:f>
              <c:numCache>
                <c:formatCode>0.0</c:formatCode>
                <c:ptCount val="3"/>
                <c:pt idx="0">
                  <c:v>15.126039040701745</c:v>
                </c:pt>
                <c:pt idx="1">
                  <c:v>14.46297121860826</c:v>
                </c:pt>
                <c:pt idx="2">
                  <c:v>16.040110864086916</c:v>
                </c:pt>
              </c:numCache>
            </c:numRef>
          </c:xVal>
          <c:yVal>
            <c:numRef>
              <c:f>'k vs %Sat or WP'!$Q$17:$Q$19</c:f>
              <c:numCache>
                <c:formatCode>0.0000</c:formatCode>
                <c:ptCount val="3"/>
                <c:pt idx="0">
                  <c:v>5.6895078033184325E-2</c:v>
                </c:pt>
                <c:pt idx="1">
                  <c:v>4.424850508134754E-2</c:v>
                </c:pt>
                <c:pt idx="2">
                  <c:v>5.3914008825809857E-2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70B-482F-BC25-FE3B2ADFEC2F}"/>
            </c:ext>
          </c:extLst>
        </c:ser>
        <c:ser>
          <c:idx val="8"/>
          <c:order val="8"/>
          <c:tx>
            <c:v>sunflower - no tails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'k vs %Sat or WP'!$I$2:$I$4</c:f>
              <c:numCache>
                <c:formatCode>0.0</c:formatCode>
                <c:ptCount val="3"/>
                <c:pt idx="0">
                  <c:v>15.407407722713595</c:v>
                </c:pt>
                <c:pt idx="1">
                  <c:v>15.300750794921916</c:v>
                </c:pt>
                <c:pt idx="2">
                  <c:v>14.26550387809683</c:v>
                </c:pt>
              </c:numCache>
            </c:numRef>
          </c:xVal>
          <c:yVal>
            <c:numRef>
              <c:f>'k vs %Sat or WP'!$R$2:$R$4</c:f>
              <c:numCache>
                <c:formatCode>0.0000</c:formatCode>
                <c:ptCount val="3"/>
                <c:pt idx="0">
                  <c:v>0.11081865381431506</c:v>
                </c:pt>
                <c:pt idx="1">
                  <c:v>7.6579770853761095E-2</c:v>
                </c:pt>
                <c:pt idx="2">
                  <c:v>8.073900636532938E-2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70B-482F-BC25-FE3B2ADFEC2F}"/>
            </c:ext>
          </c:extLst>
        </c:ser>
        <c:ser>
          <c:idx val="9"/>
          <c:order val="9"/>
          <c:tx>
            <c:v>corn - no tails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'k vs %Sat or WP'!$I$5:$I$7</c:f>
              <c:numCache>
                <c:formatCode>0.0</c:formatCode>
                <c:ptCount val="3"/>
                <c:pt idx="0">
                  <c:v>16.876186492114339</c:v>
                </c:pt>
                <c:pt idx="1">
                  <c:v>17.183957190726318</c:v>
                </c:pt>
                <c:pt idx="2">
                  <c:v>16.426631830717241</c:v>
                </c:pt>
              </c:numCache>
            </c:numRef>
          </c:xVal>
          <c:yVal>
            <c:numRef>
              <c:f>'k vs %Sat or WP'!$R$5:$R$7</c:f>
              <c:numCache>
                <c:formatCode>0.0000</c:formatCode>
                <c:ptCount val="3"/>
                <c:pt idx="0">
                  <c:v>2.9063482709548068E-2</c:v>
                </c:pt>
                <c:pt idx="1">
                  <c:v>0.11995904392759819</c:v>
                </c:pt>
                <c:pt idx="2">
                  <c:v>7.9247710417935144E-2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70B-482F-BC25-FE3B2ADFEC2F}"/>
            </c:ext>
          </c:extLst>
        </c:ser>
        <c:ser>
          <c:idx val="10"/>
          <c:order val="10"/>
          <c:tx>
            <c:v>rosemary - no tails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'k vs %Sat or WP'!$I$8:$I$10</c:f>
              <c:numCache>
                <c:formatCode>0.0</c:formatCode>
                <c:ptCount val="3"/>
                <c:pt idx="0">
                  <c:v>10.209152455248237</c:v>
                </c:pt>
                <c:pt idx="1">
                  <c:v>11.664728767164227</c:v>
                </c:pt>
                <c:pt idx="2">
                  <c:v>10.865457465694016</c:v>
                </c:pt>
              </c:numCache>
            </c:numRef>
          </c:xVal>
          <c:yVal>
            <c:numRef>
              <c:f>'k vs %Sat or WP'!$R$8:$R$10</c:f>
              <c:numCache>
                <c:formatCode>0.0000</c:formatCode>
                <c:ptCount val="3"/>
                <c:pt idx="0">
                  <c:v>9.1775472133302255E-2</c:v>
                </c:pt>
                <c:pt idx="1">
                  <c:v>8.8471055999118586E-2</c:v>
                </c:pt>
                <c:pt idx="2">
                  <c:v>9.3618700071137095E-2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70B-482F-BC25-FE3B2ADFEC2F}"/>
            </c:ext>
          </c:extLst>
        </c:ser>
        <c:ser>
          <c:idx val="11"/>
          <c:order val="11"/>
          <c:tx>
            <c:v>oregano - no tails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'k vs %Sat or WP'!$I$11:$I$13</c:f>
              <c:numCache>
                <c:formatCode>0.0</c:formatCode>
                <c:ptCount val="3"/>
                <c:pt idx="0">
                  <c:v>15.4823203614691</c:v>
                </c:pt>
                <c:pt idx="1">
                  <c:v>14.165600436111264</c:v>
                </c:pt>
                <c:pt idx="2">
                  <c:v>14.626350705260592</c:v>
                </c:pt>
              </c:numCache>
            </c:numRef>
          </c:xVal>
          <c:yVal>
            <c:numRef>
              <c:f>'k vs %Sat or WP'!$R$11:$R$13</c:f>
              <c:numCache>
                <c:formatCode>0.0000</c:formatCode>
                <c:ptCount val="3"/>
                <c:pt idx="0">
                  <c:v>6.6001262381257364E-2</c:v>
                </c:pt>
                <c:pt idx="1">
                  <c:v>6.9617231468959817E-2</c:v>
                </c:pt>
                <c:pt idx="2">
                  <c:v>5.4561678906605494E-2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70B-482F-BC25-FE3B2ADFEC2F}"/>
            </c:ext>
          </c:extLst>
        </c:ser>
        <c:ser>
          <c:idx val="12"/>
          <c:order val="12"/>
          <c:tx>
            <c:v>sod - no tails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 vs %Sat or WP'!$I$14:$I$16</c:f>
              <c:numCache>
                <c:formatCode>0.0</c:formatCode>
                <c:ptCount val="3"/>
                <c:pt idx="0">
                  <c:v>13.646929842937606</c:v>
                </c:pt>
                <c:pt idx="1">
                  <c:v>12.615697701261171</c:v>
                </c:pt>
                <c:pt idx="2">
                  <c:v>11.972902619915907</c:v>
                </c:pt>
              </c:numCache>
            </c:numRef>
          </c:xVal>
          <c:yVal>
            <c:numRef>
              <c:f>'k vs %Sat or WP'!$R$14:$R$16</c:f>
              <c:numCache>
                <c:formatCode>0.0000</c:formatCode>
                <c:ptCount val="3"/>
                <c:pt idx="0">
                  <c:v>9.9097819592244146E-2</c:v>
                </c:pt>
                <c:pt idx="1">
                  <c:v>8.8814283849785403E-2</c:v>
                </c:pt>
                <c:pt idx="2">
                  <c:v>0.12051422692361925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70B-482F-BC25-FE3B2ADFEC2F}"/>
            </c:ext>
          </c:extLst>
        </c:ser>
        <c:ser>
          <c:idx val="13"/>
          <c:order val="13"/>
          <c:tx>
            <c:v>buckwheat - no tails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'k vs %Sat or WP'!$I$17:$I$19</c:f>
              <c:numCache>
                <c:formatCode>0.0</c:formatCode>
                <c:ptCount val="3"/>
                <c:pt idx="0">
                  <c:v>15.126039040701745</c:v>
                </c:pt>
                <c:pt idx="1">
                  <c:v>14.46297121860826</c:v>
                </c:pt>
                <c:pt idx="2">
                  <c:v>16.040110864086916</c:v>
                </c:pt>
              </c:numCache>
            </c:numRef>
          </c:xVal>
          <c:yVal>
            <c:numRef>
              <c:f>'k vs %Sat or WP'!$R$17:$R$19</c:f>
              <c:numCache>
                <c:formatCode>0.0000</c:formatCode>
                <c:ptCount val="3"/>
                <c:pt idx="0">
                  <c:v>6.5894636676838989E-3</c:v>
                </c:pt>
                <c:pt idx="1">
                  <c:v>4.4324073914789722E-2</c:v>
                </c:pt>
                <c:pt idx="2">
                  <c:v>4.3746721320505506E-2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70B-482F-BC25-FE3B2ADFE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280144"/>
        <c:axId val="1033281856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6"/>
                <c:tx>
                  <c:v>asparagus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70C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'k vs %Sat or WP'!$I$20:$I$22</c15:sqref>
                        </c15:formulaRef>
                      </c:ext>
                    </c:extLst>
                    <c:numCache>
                      <c:formatCode>0.0</c:formatCode>
                      <c:ptCount val="3"/>
                      <c:pt idx="0">
                        <c:v>38.498136879970147</c:v>
                      </c:pt>
                      <c:pt idx="1">
                        <c:v>34.834196116665971</c:v>
                      </c:pt>
                      <c:pt idx="2">
                        <c:v>34.125038754140128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'k vs %Sat or WP'!$Q$20:$Q$22</c15:sqref>
                        </c15:formulaRef>
                      </c:ext>
                    </c:extLst>
                    <c:numCache>
                      <c:formatCode>0.0000</c:formatCode>
                      <c:ptCount val="3"/>
                      <c:pt idx="0">
                        <c:v>0.20375638150234768</c:v>
                      </c:pt>
                      <c:pt idx="1">
                        <c:v>0.22797594477398658</c:v>
                      </c:pt>
                      <c:pt idx="2">
                        <c:v>0.21631007670528557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870B-482F-BC25-FE3B2ADFEC2F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young cherry tree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7030A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 vs %Sat or WP'!$I$23:$I$25</c15:sqref>
                        </c15:formulaRef>
                      </c:ext>
                    </c:extLst>
                    <c:numCache>
                      <c:formatCode>0.0</c:formatCode>
                      <c:ptCount val="3"/>
                      <c:pt idx="0">
                        <c:v>31.953831900644627</c:v>
                      </c:pt>
                      <c:pt idx="1">
                        <c:v>30.549571213079055</c:v>
                      </c:pt>
                      <c:pt idx="2">
                        <c:v>25.382506093795751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 vs %Sat or WP'!$Q$23:$Q$25</c15:sqref>
                        </c15:formulaRef>
                      </c:ext>
                    </c:extLst>
                    <c:numCache>
                      <c:formatCode>0.0000</c:formatCode>
                      <c:ptCount val="3"/>
                      <c:pt idx="0">
                        <c:v>6.0303322034759702E-2</c:v>
                      </c:pt>
                      <c:pt idx="1">
                        <c:v>4.341783474303583E-2</c:v>
                      </c:pt>
                      <c:pt idx="2">
                        <c:v>3.423585529766212E-2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70B-482F-BC25-FE3B2ADFEC2F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v>asparagus - no tails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5"/>
                  <c:spPr>
                    <a:noFill/>
                    <a:ln w="9525">
                      <a:solidFill>
                        <a:srgbClr val="0070C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 vs %Sat or WP'!$I$20:$I$22</c15:sqref>
                        </c15:formulaRef>
                      </c:ext>
                    </c:extLst>
                    <c:numCache>
                      <c:formatCode>0.0</c:formatCode>
                      <c:ptCount val="3"/>
                      <c:pt idx="0">
                        <c:v>38.498136879970147</c:v>
                      </c:pt>
                      <c:pt idx="1">
                        <c:v>34.834196116665971</c:v>
                      </c:pt>
                      <c:pt idx="2">
                        <c:v>34.125038754140128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 vs %Sat or WP'!$R$20:$R$22</c15:sqref>
                        </c15:formulaRef>
                      </c:ext>
                    </c:extLst>
                    <c:numCache>
                      <c:formatCode>0.0000</c:formatCode>
                      <c:ptCount val="3"/>
                      <c:pt idx="0">
                        <c:v>0.14961241664658462</c:v>
                      </c:pt>
                      <c:pt idx="1">
                        <c:v>0.18076601304734247</c:v>
                      </c:pt>
                      <c:pt idx="2">
                        <c:v>0.23232224699480314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70B-482F-BC25-FE3B2ADFEC2F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v>cherry tree - no tails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5"/>
                  <c:spPr>
                    <a:noFill/>
                    <a:ln w="9525">
                      <a:solidFill>
                        <a:srgbClr val="7030A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 vs %Sat or WP'!$I$23:$I$25</c15:sqref>
                        </c15:formulaRef>
                      </c:ext>
                    </c:extLst>
                    <c:numCache>
                      <c:formatCode>0.0</c:formatCode>
                      <c:ptCount val="3"/>
                      <c:pt idx="0">
                        <c:v>31.953831900644627</c:v>
                      </c:pt>
                      <c:pt idx="1">
                        <c:v>30.549571213079055</c:v>
                      </c:pt>
                      <c:pt idx="2">
                        <c:v>25.382506093795751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 vs %Sat or WP'!$L$23:$L$25</c15:sqref>
                        </c15:formulaRef>
                      </c:ext>
                    </c:extLst>
                    <c:numCache>
                      <c:formatCode>0.00000</c:formatCode>
                      <c:ptCount val="3"/>
                      <c:pt idx="0">
                        <c:v>1.4044846596768716E-3</c:v>
                      </c:pt>
                      <c:pt idx="1">
                        <c:v>3.3351343253007638E-3</c:v>
                      </c:pt>
                      <c:pt idx="2">
                        <c:v>2.4331047685663453E-4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870B-482F-BC25-FE3B2ADFEC2F}"/>
                  </c:ext>
                </c:extLst>
              </c15:ser>
            </c15:filteredScatterSeries>
          </c:ext>
        </c:extLst>
      </c:scatterChart>
      <c:valAx>
        <c:axId val="1033280144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%</a:t>
                </a:r>
                <a:r>
                  <a:rPr lang="zh-CN" altLang="en-US" sz="1800"/>
                  <a:t> </a:t>
                </a:r>
                <a:r>
                  <a:rPr lang="en-US" altLang="zh-CN" sz="1800"/>
                  <a:t>Saturation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3281856"/>
        <c:crosses val="autoZero"/>
        <c:crossBetween val="midCat"/>
      </c:valAx>
      <c:valAx>
        <c:axId val="10332818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k (min-1 g OM-1)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3280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44189753958924"/>
          <c:y val="0.12356708931438216"/>
          <c:w val="0.22047695222029259"/>
          <c:h val="0.866122527540957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  <cx:data id="1">
      <cx:numDim type="val">
        <cx:f>_xlchart.v1.16</cx:f>
      </cx:numDim>
    </cx:data>
    <cx:data id="2">
      <cx:numDim type="val">
        <cx:f>_xlchart.v1.17</cx:f>
      </cx:numDim>
    </cx:data>
    <cx:data id="3">
      <cx:numDim type="val">
        <cx:f>_xlchart.v1.12</cx:f>
      </cx:numDim>
    </cx:data>
    <cx:data id="4">
      <cx:numDim type="val">
        <cx:f>_xlchart.v1.13</cx:f>
      </cx:numDim>
    </cx:data>
    <cx:data id="5">
      <cx:numDim type="val">
        <cx:f>_xlchart.v1.14</cx:f>
      </cx:numDim>
    </cx:data>
  </cx:chartData>
  <cx:chart>
    <cx:title pos="t" align="ctr" overlay="0">
      <cx:tx>
        <cx:txData>
          <cx:v>Box &amp; Whisker of Soil Rates at ~20% Saturation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Box &amp; Whisker of Soil Rates at ~20% Saturation</a:t>
          </a:r>
        </a:p>
      </cx:txPr>
    </cx:title>
    <cx:plotArea>
      <cx:plotAreaRegion>
        <cx:series layoutId="boxWhisker" uniqueId="{00000008-FEB2-457D-ACDC-83F5590A0D06}">
          <cx:tx>
            <cx:txData>
              <cx:f/>
              <cx:v>Sunflower</cx:v>
            </cx:txData>
          </cx:tx>
          <cx:dataId val="0"/>
          <cx:layoutPr>
            <cx:visibility meanLine="1" meanMarker="1" nonoutliers="1" outliers="1"/>
            <cx:statistics quartileMethod="exclusive"/>
          </cx:layoutPr>
        </cx:series>
        <cx:series layoutId="boxWhisker" uniqueId="{00000009-FEB2-457D-ACDC-83F5590A0D06}">
          <cx:tx>
            <cx:txData>
              <cx:f/>
              <cx:v>Corn</cx:v>
            </cx:txData>
          </cx:tx>
          <cx:dataId val="1"/>
          <cx:layoutPr>
            <cx:statistics quartileMethod="exclusive"/>
          </cx:layoutPr>
        </cx:series>
        <cx:series layoutId="boxWhisker" uniqueId="{0000000A-FEB2-457D-ACDC-83F5590A0D06}">
          <cx:tx>
            <cx:txData>
              <cx:f/>
              <cx:v>Rosemary</cx:v>
            </cx:txData>
          </cx:tx>
          <cx:dataId val="2"/>
          <cx:layoutPr>
            <cx:statistics quartileMethod="exclusive"/>
          </cx:layoutPr>
        </cx:series>
        <cx:series layoutId="boxWhisker" uniqueId="{0000000B-FEB2-457D-ACDC-83F5590A0D06}">
          <cx:tx>
            <cx:txData>
              <cx:f/>
              <cx:v>Oregano</cx:v>
            </cx:txData>
          </cx:tx>
          <cx:dataId val="3"/>
          <cx:layoutPr>
            <cx:statistics quartileMethod="exclusive"/>
          </cx:layoutPr>
        </cx:series>
        <cx:series layoutId="boxWhisker" uniqueId="{0000000C-FEB2-457D-ACDC-83F5590A0D06}">
          <cx:tx>
            <cx:txData>
              <cx:f/>
              <cx:v>Sod</cx:v>
            </cx:txData>
          </cx:tx>
          <cx:dataId val="4"/>
          <cx:layoutPr>
            <cx:statistics quartileMethod="exclusive"/>
          </cx:layoutPr>
        </cx:series>
        <cx:series layoutId="boxWhisker" uniqueId="{0000000D-FEB2-457D-ACDC-83F5590A0D06}">
          <cx:tx>
            <cx:txData>
              <cx:f/>
              <cx:v>Buckwheat</cx:v>
            </cx:txData>
          </cx:tx>
          <cx:dataId val="5"/>
          <cx:layoutPr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Axis Title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Axis Title</a:t>
              </a:r>
            </a:p>
          </cx:txPr>
        </cx:title>
        <cx:tickLabels/>
      </cx:axis>
      <cx:axis id="1">
        <cx:valScaling/>
        <cx:title>
          <cx:tx>
            <cx:txData>
              <cx:v>Axis Title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Axis Title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_xlchart.v1.10</cx:f>
      </cx:numDim>
    </cx:data>
    <cx:data id="1">
      <cx:numDim type="val">
        <cx:f dir="row">_xlchart.v1.9</cx:f>
      </cx:numDim>
    </cx:data>
    <cx:data id="2">
      <cx:numDim type="val">
        <cx:f dir="row">_xlchart.v1.11</cx:f>
      </cx:numDim>
    </cx:data>
    <cx:data id="3">
      <cx:numDim type="val">
        <cx:f dir="row">_xlchart.v1.6</cx:f>
      </cx:numDim>
    </cx:data>
    <cx:data id="4">
      <cx:numDim type="val">
        <cx:f dir="row">_xlchart.v1.8</cx:f>
      </cx:numDim>
    </cx:data>
    <cx:data id="5">
      <cx:numDim type="val">
        <cx:f dir="row"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Unanchored Abbreviated  H2 Uptake Rates</a:t>
            </a:r>
          </a:p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Normalized to SOC</a:t>
            </a:r>
          </a:p>
        </cx:rich>
      </cx:tx>
    </cx:title>
    <cx:plotArea>
      <cx:plotAreaRegion>
        <cx:series layoutId="boxWhisker" uniqueId="{0000000A-F28B-40FD-83CB-FE9B1F06FFD9}" formatIdx="0">
          <cx:tx>
            <cx:txData>
              <cx:f>_xlchart.v1.3</cx:f>
              <cx:v>FGF-sf-20-1</cx:v>
            </cx:txData>
          </cx:tx>
          <cx:dataId val="0"/>
          <cx:layoutPr>
            <cx:statistics quartileMethod="exclusive"/>
          </cx:layoutPr>
        </cx:series>
        <cx:series layoutId="boxWhisker" uniqueId="{0000000B-F28B-40FD-83CB-FE9B1F06FFD9}" formatIdx="1">
          <cx:tx>
            <cx:txData>
              <cx:f>_xlchart.v1.4</cx:f>
              <cx:v>FGF-co-20-1</cx:v>
            </cx:txData>
          </cx:tx>
          <cx:dataId val="1"/>
          <cx:layoutPr>
            <cx:statistics quartileMethod="exclusive"/>
          </cx:layoutPr>
        </cx:series>
        <cx:series layoutId="boxWhisker" uniqueId="{0000000C-F28B-40FD-83CB-FE9B1F06FFD9}" formatIdx="2">
          <cx:tx>
            <cx:txData>
              <cx:f>_xlchart.v1.5</cx:f>
              <cx:v>FGF-rm-20-1</cx:v>
            </cx:txData>
          </cx:tx>
          <cx:dataId val="2"/>
          <cx:layoutPr>
            <cx:statistics quartileMethod="exclusive"/>
          </cx:layoutPr>
        </cx:series>
        <cx:series layoutId="boxWhisker" uniqueId="{0000000D-F28B-40FD-83CB-FE9B1F06FFD9}" formatIdx="3">
          <cx:tx>
            <cx:txData>
              <cx:f>_xlchart.v1.0</cx:f>
              <cx:v>FGF-or-20-1</cx:v>
            </cx:txData>
          </cx:tx>
          <cx:dataId val="3"/>
          <cx:layoutPr>
            <cx:statistics quartileMethod="exclusive"/>
          </cx:layoutPr>
        </cx:series>
        <cx:series layoutId="boxWhisker" uniqueId="{0000000F-F28B-40FD-83CB-FE9B1F06FFD9}" formatIdx="5">
          <cx:tx>
            <cx:txData>
              <cx:f>_xlchart.v1.2</cx:f>
              <cx:v>FGF-bw-20-1</cx:v>
            </cx:txData>
          </cx:tx>
          <cx:dataId val="4"/>
          <cx:layoutPr>
            <cx:statistics quartileMethod="exclusive"/>
          </cx:layoutPr>
        </cx:series>
        <cx:series layoutId="boxWhisker" uniqueId="{00000010-F28B-40FD-83CB-FE9B1F06FFD9}">
          <cx:tx>
            <cx:txData>
              <cx:f>_xlchart.v1.1</cx:f>
              <cx:v>FGF-sod-20-1</cx:v>
            </cx:txData>
          </cx:tx>
          <cx:dataId val="5"/>
          <cx:layoutPr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Axis Title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Axis Title</a:t>
              </a:r>
            </a:p>
          </cx:txPr>
        </cx:title>
        <cx:tickLabels/>
      </cx:axis>
      <cx:axis id="1">
        <cx:valScaling max="0.25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ppm H2 / min / g Carbon</a:t>
                </a:r>
              </a:p>
              <a:p>
                <a:pPr algn="ctr" rtl="0">
                  <a:defRPr/>
                </a:pP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_xlchart.v1.22</cx:f>
      </cx:numDim>
    </cx:data>
    <cx:data id="1">
      <cx:numDim type="val">
        <cx:f>_xlchart.v1.21</cx:f>
      </cx:numDim>
    </cx:data>
    <cx:data id="2">
      <cx:numDim type="val">
        <cx:f>_xlchart.v1.23</cx:f>
      </cx:numDim>
    </cx:data>
    <cx:data id="3">
      <cx:numDim type="val">
        <cx:f>_xlchart.v1.18</cx:f>
      </cx:numDim>
    </cx:data>
    <cx:data id="4">
      <cx:numDim type="val">
        <cx:f>_xlchart.v1.19</cx:f>
      </cx:numDim>
    </cx:data>
    <cx:data id="5">
      <cx:numDim type="val">
        <cx:f>_xlchart.v1.20</cx:f>
      </cx:numDim>
    </cx:data>
  </cx:chartData>
  <cx:chart>
    <cx:title pos="t" align="ctr" overlay="0">
      <cx:tx>
        <cx:txData>
          <cx:v>H2 uptake kinetic rates in vitro at 22 deg. C, 20% saturation of Fairgrown Farms soils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H2 uptake kinetic rates in vitro at 22 deg. C, 20% saturation of Fairgrown Farms soils</a:t>
          </a:r>
        </a:p>
      </cx:txPr>
    </cx:title>
    <cx:plotArea>
      <cx:plotAreaRegion>
        <cx:series layoutId="boxWhisker" uniqueId="{D21A77E6-A661-41FF-ACB0-5E5005ECAE01}">
          <cx:tx>
            <cx:txData>
              <cx:f/>
              <cx:v>FGF Sunflower Soil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9609-450A-82D4-3C33EDD3D3F3}">
          <cx:tx>
            <cx:txData>
              <cx:f/>
              <cx:v>FGF Corn Soil</cx:v>
            </cx:txData>
          </cx:tx>
          <cx:dataId val="1"/>
          <cx:layoutPr>
            <cx:statistics quartileMethod="exclusive"/>
          </cx:layoutPr>
        </cx:series>
        <cx:series layoutId="boxWhisker" uniqueId="{00000002-9609-450A-82D4-3C33EDD3D3F3}">
          <cx:tx>
            <cx:txData>
              <cx:f/>
              <cx:v>FGF Rosemary Soil</cx:v>
            </cx:txData>
          </cx:tx>
          <cx:dataId val="2"/>
          <cx:layoutPr>
            <cx:statistics quartileMethod="exclusive"/>
          </cx:layoutPr>
        </cx:series>
        <cx:series layoutId="boxWhisker" uniqueId="{00000003-9609-450A-82D4-3C33EDD3D3F3}">
          <cx:tx>
            <cx:txData>
              <cx:f/>
              <cx:v>FGF Oregano Soil</cx:v>
            </cx:txData>
          </cx:tx>
          <cx:dataId val="3"/>
          <cx:layoutPr>
            <cx:statistics quartileMethod="exclusive"/>
          </cx:layoutPr>
        </cx:series>
        <cx:series layoutId="boxWhisker" uniqueId="{00000004-9609-450A-82D4-3C33EDD3D3F3}">
          <cx:tx>
            <cx:txData>
              <cx:f/>
              <cx:v>FGF Sod Soil</cx:v>
            </cx:txData>
          </cx:tx>
          <cx:dataId val="4"/>
          <cx:layoutPr>
            <cx:statistics quartileMethod="exclusive"/>
          </cx:layoutPr>
        </cx:series>
        <cx:series layoutId="boxWhisker" uniqueId="{00000005-9609-450A-82D4-3C33EDD3D3F3}">
          <cx:tx>
            <cx:txData>
              <cx:f/>
              <cx:v>FGF Buckwheat Soil</cx:v>
            </cx:txData>
          </cx:tx>
          <cx:dataId val="5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txData>
              <cx:v>ppm H2/min/ g OM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ppm H2/min/ g OM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13" Type="http://schemas.openxmlformats.org/officeDocument/2006/relationships/chart" Target="../charts/chart10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9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microsoft.com/office/2014/relationships/chartEx" Target="../charts/chartEx3.xml"/><Relationship Id="rId5" Type="http://schemas.openxmlformats.org/officeDocument/2006/relationships/chart" Target="../charts/chart5.xml"/><Relationship Id="rId10" Type="http://schemas.microsoft.com/office/2014/relationships/chartEx" Target="../charts/chartEx2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78748</xdr:colOff>
      <xdr:row>16</xdr:row>
      <xdr:rowOff>71445</xdr:rowOff>
    </xdr:from>
    <xdr:to>
      <xdr:col>35</xdr:col>
      <xdr:colOff>418113</xdr:colOff>
      <xdr:row>46</xdr:row>
      <xdr:rowOff>81644</xdr:rowOff>
    </xdr:to>
    <xdr:graphicFrame macro="">
      <xdr:nvGraphicFramePr>
        <xdr:cNvPr id="86" name="Chart 1">
          <a:extLst>
            <a:ext uri="{FF2B5EF4-FFF2-40B4-BE49-F238E27FC236}">
              <a16:creationId xmlns:a16="http://schemas.microsoft.com/office/drawing/2014/main" id="{6F61486E-7763-FA4F-BC26-0DAE5995D0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59250</xdr:colOff>
      <xdr:row>49</xdr:row>
      <xdr:rowOff>15670</xdr:rowOff>
    </xdr:from>
    <xdr:to>
      <xdr:col>34</xdr:col>
      <xdr:colOff>221838</xdr:colOff>
      <xdr:row>75</xdr:row>
      <xdr:rowOff>131406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C2FF0A-CDD9-D548-A08D-8DAFB9661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778488</xdr:colOff>
      <xdr:row>89</xdr:row>
      <xdr:rowOff>6914</xdr:rowOff>
    </xdr:from>
    <xdr:to>
      <xdr:col>36</xdr:col>
      <xdr:colOff>1472</xdr:colOff>
      <xdr:row>116</xdr:row>
      <xdr:rowOff>164883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5A6956-9933-4549-90D6-555F98BD4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114245</xdr:colOff>
      <xdr:row>125</xdr:row>
      <xdr:rowOff>60093</xdr:rowOff>
    </xdr:from>
    <xdr:to>
      <xdr:col>36</xdr:col>
      <xdr:colOff>462644</xdr:colOff>
      <xdr:row>153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561A23-E129-644B-A922-7B8336000C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113248</xdr:colOff>
      <xdr:row>168</xdr:row>
      <xdr:rowOff>25332</xdr:rowOff>
    </xdr:from>
    <xdr:to>
      <xdr:col>35</xdr:col>
      <xdr:colOff>259870</xdr:colOff>
      <xdr:row>195</xdr:row>
      <xdr:rowOff>194571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14663F-29F0-554C-BCBE-55E4441F0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516393</xdr:colOff>
      <xdr:row>203</xdr:row>
      <xdr:rowOff>97895</xdr:rowOff>
    </xdr:from>
    <xdr:to>
      <xdr:col>36</xdr:col>
      <xdr:colOff>512592</xdr:colOff>
      <xdr:row>233</xdr:row>
      <xdr:rowOff>43138</xdr:rowOff>
    </xdr:to>
    <xdr:graphicFrame macro="">
      <xdr:nvGraphicFramePr>
        <xdr:cNvPr id="30" name="Chart 6">
          <a:extLst>
            <a:ext uri="{FF2B5EF4-FFF2-40B4-BE49-F238E27FC236}">
              <a16:creationId xmlns:a16="http://schemas.microsoft.com/office/drawing/2014/main" id="{26CAA5D4-2608-7D41-A34B-8BB74E04622A}"/>
            </a:ext>
            <a:ext uri="{147F2762-F138-4A5C-976F-8EAC2B608ADB}">
              <a16:predDERef xmlns:a16="http://schemas.microsoft.com/office/drawing/2014/main" pred="{B014663F-29F0-554C-BCBE-55E4441F0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711710</xdr:colOff>
      <xdr:row>0</xdr:row>
      <xdr:rowOff>0</xdr:rowOff>
    </xdr:from>
    <xdr:to>
      <xdr:col>33</xdr:col>
      <xdr:colOff>260405</xdr:colOff>
      <xdr:row>14</xdr:row>
      <xdr:rowOff>162967</xdr:rowOff>
    </xdr:to>
    <xdr:graphicFrame macro="">
      <xdr:nvGraphicFramePr>
        <xdr:cNvPr id="141" name="Chart 8">
          <a:extLst>
            <a:ext uri="{FF2B5EF4-FFF2-40B4-BE49-F238E27FC236}">
              <a16:creationId xmlns:a16="http://schemas.microsoft.com/office/drawing/2014/main" id="{85579807-680F-A34F-2D9C-10CACF6CA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38</xdr:col>
      <xdr:colOff>776265</xdr:colOff>
      <xdr:row>42</xdr:row>
      <xdr:rowOff>73079</xdr:rowOff>
    </xdr:from>
    <xdr:to>
      <xdr:col>46</xdr:col>
      <xdr:colOff>595414</xdr:colOff>
      <xdr:row>62</xdr:row>
      <xdr:rowOff>165760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2" name="Chart 1">
              <a:extLst>
                <a:ext uri="{FF2B5EF4-FFF2-40B4-BE49-F238E27FC236}">
                  <a16:creationId xmlns:a16="http://schemas.microsoft.com/office/drawing/2014/main" id="{F23085EC-D95B-B5FB-3962-C2A4AFE9B9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783565" y="8810679"/>
              <a:ext cx="6524749" cy="41566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33</xdr:col>
      <xdr:colOff>18142</xdr:colOff>
      <xdr:row>0</xdr:row>
      <xdr:rowOff>0</xdr:rowOff>
    </xdr:from>
    <xdr:to>
      <xdr:col>41</xdr:col>
      <xdr:colOff>401409</xdr:colOff>
      <xdr:row>14</xdr:row>
      <xdr:rowOff>166916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B6F4CEF2-22C3-46EA-9261-147267BEDB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42</xdr:col>
      <xdr:colOff>751134</xdr:colOff>
      <xdr:row>0</xdr:row>
      <xdr:rowOff>0</xdr:rowOff>
    </xdr:from>
    <xdr:to>
      <xdr:col>48</xdr:col>
      <xdr:colOff>283202</xdr:colOff>
      <xdr:row>10</xdr:row>
      <xdr:rowOff>89377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DFF9A721-7ACA-3A22-BE63-D87677528D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111234" y="0"/>
              <a:ext cx="4561268" cy="23245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40</xdr:col>
      <xdr:colOff>89807</xdr:colOff>
      <xdr:row>23</xdr:row>
      <xdr:rowOff>27215</xdr:rowOff>
    </xdr:from>
    <xdr:to>
      <xdr:col>45</xdr:col>
      <xdr:colOff>488949</xdr:colOff>
      <xdr:row>37</xdr:row>
      <xdr:rowOff>172357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1" name="Chart 10">
              <a:extLst>
                <a:ext uri="{FF2B5EF4-FFF2-40B4-BE49-F238E27FC236}">
                  <a16:creationId xmlns:a16="http://schemas.microsoft.com/office/drawing/2014/main" id="{85CE91DE-3610-9564-03AF-4FBD918F28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773507" y="4904015"/>
              <a:ext cx="4590142" cy="29899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17991</xdr:colOff>
      <xdr:row>240</xdr:row>
      <xdr:rowOff>27517</xdr:rowOff>
    </xdr:from>
    <xdr:to>
      <xdr:col>33</xdr:col>
      <xdr:colOff>508000</xdr:colOff>
      <xdr:row>270</xdr:row>
      <xdr:rowOff>16933</xdr:rowOff>
    </xdr:to>
    <xdr:graphicFrame macro="">
      <xdr:nvGraphicFramePr>
        <xdr:cNvPr id="29" name="Chart 9">
          <a:extLst>
            <a:ext uri="{FF2B5EF4-FFF2-40B4-BE49-F238E27FC236}">
              <a16:creationId xmlns:a16="http://schemas.microsoft.com/office/drawing/2014/main" id="{220EC049-9232-4486-A3FD-148CB7FEC746}"/>
            </a:ext>
            <a:ext uri="{147F2762-F138-4A5C-976F-8EAC2B608ADB}">
              <a16:predDERef xmlns:a16="http://schemas.microsoft.com/office/drawing/2014/main" pred="{85CE91DE-3610-9564-03AF-4FBD918F28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36</xdr:col>
      <xdr:colOff>300272</xdr:colOff>
      <xdr:row>95</xdr:row>
      <xdr:rowOff>127032</xdr:rowOff>
    </xdr:from>
    <xdr:to>
      <xdr:col>45</xdr:col>
      <xdr:colOff>802364</xdr:colOff>
      <xdr:row>120</xdr:row>
      <xdr:rowOff>1759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196C13-9547-8DFE-99E2-62B1C853C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114299</xdr:colOff>
      <xdr:row>1</xdr:row>
      <xdr:rowOff>26459</xdr:rowOff>
    </xdr:from>
    <xdr:to>
      <xdr:col>36</xdr:col>
      <xdr:colOff>427567</xdr:colOff>
      <xdr:row>22</xdr:row>
      <xdr:rowOff>187325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A82741-FA1D-A946-B0EF-9F227582B9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550334</xdr:colOff>
      <xdr:row>28</xdr:row>
      <xdr:rowOff>186267</xdr:rowOff>
    </xdr:from>
    <xdr:to>
      <xdr:col>33</xdr:col>
      <xdr:colOff>25402</xdr:colOff>
      <xdr:row>50</xdr:row>
      <xdr:rowOff>143933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FE3608-AE8B-A049-A8F9-BD2FA9C970F5}"/>
            </a:ext>
            <a:ext uri="{147F2762-F138-4A5C-976F-8EAC2B608ADB}">
              <a16:predDERef xmlns:a16="http://schemas.microsoft.com/office/drawing/2014/main" pred="{63A82741-FA1D-A946-B0EF-9F227582B9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596728</xdr:colOff>
      <xdr:row>23</xdr:row>
      <xdr:rowOff>96456</xdr:rowOff>
    </xdr:from>
    <xdr:to>
      <xdr:col>56</xdr:col>
      <xdr:colOff>465667</xdr:colOff>
      <xdr:row>47</xdr:row>
      <xdr:rowOff>101600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80D82E4F-B4F0-47FB-9527-86B4B65756AC}"/>
            </a:ext>
            <a:ext uri="{147F2762-F138-4A5C-976F-8EAC2B608ADB}">
              <a16:predDERef xmlns:a16="http://schemas.microsoft.com/office/drawing/2014/main" pred="{77FE3608-AE8B-A049-A8F9-BD2FA9C97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615308</xdr:colOff>
      <xdr:row>0</xdr:row>
      <xdr:rowOff>900815</xdr:rowOff>
    </xdr:from>
    <xdr:to>
      <xdr:col>52</xdr:col>
      <xdr:colOff>86833</xdr:colOff>
      <xdr:row>20</xdr:row>
      <xdr:rowOff>54320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64C1069B-E7C4-4E1F-9663-C72961C7ED9C}"/>
            </a:ext>
            <a:ext uri="{147F2762-F138-4A5C-976F-8EAC2B608ADB}">
              <a16:predDERef xmlns:a16="http://schemas.microsoft.com/office/drawing/2014/main" pred="{80D82E4F-B4F0-47FB-9527-86B4B65756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474134</xdr:colOff>
      <xdr:row>28</xdr:row>
      <xdr:rowOff>101600</xdr:rowOff>
    </xdr:from>
    <xdr:to>
      <xdr:col>41</xdr:col>
      <xdr:colOff>787402</xdr:colOff>
      <xdr:row>50</xdr:row>
      <xdr:rowOff>59266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B91FA1A-F360-9848-BA7F-C49E8A5CEEA2}"/>
            </a:ext>
            <a:ext uri="{147F2762-F138-4A5C-976F-8EAC2B608ADB}">
              <a16:predDERef xmlns:a16="http://schemas.microsoft.com/office/drawing/2014/main" pred="{63A82741-FA1D-A946-B0EF-9F227582B9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57</xdr:col>
      <xdr:colOff>723194</xdr:colOff>
      <xdr:row>23</xdr:row>
      <xdr:rowOff>88194</xdr:rowOff>
    </xdr:from>
    <xdr:to>
      <xdr:col>69</xdr:col>
      <xdr:colOff>695013</xdr:colOff>
      <xdr:row>45</xdr:row>
      <xdr:rowOff>51522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67360C-C119-4210-BCD2-2BC38B24344E}"/>
            </a:ext>
            <a:ext uri="{147F2762-F138-4A5C-976F-8EAC2B608ADB}">
              <a16:predDERef xmlns:a16="http://schemas.microsoft.com/office/drawing/2014/main" pred="{77FE3608-AE8B-A049-A8F9-BD2FA9C97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A1836-726F-9842-8350-249F5A94F1BF}">
  <dimension ref="A1:L354"/>
  <sheetViews>
    <sheetView topLeftCell="A170" zoomScale="77" zoomScaleNormal="100" workbookViewId="0">
      <selection activeCell="D3" sqref="D3"/>
    </sheetView>
  </sheetViews>
  <sheetFormatPr defaultColWidth="10.83203125" defaultRowHeight="16" x14ac:dyDescent="0.4"/>
  <cols>
    <col min="1" max="1" width="22" style="1" customWidth="1"/>
    <col min="2" max="2" width="17.5" style="2" customWidth="1"/>
    <col min="3" max="3" width="16" style="1" customWidth="1"/>
    <col min="4" max="4" width="18.83203125" style="1" customWidth="1"/>
    <col min="5" max="6" width="13.5" style="1" customWidth="1"/>
    <col min="7" max="16384" width="10.83203125" style="1"/>
  </cols>
  <sheetData>
    <row r="1" spans="1:12" x14ac:dyDescent="0.4">
      <c r="A1" s="123" t="s">
        <v>0</v>
      </c>
      <c r="B1" s="123"/>
    </row>
    <row r="2" spans="1:12" x14ac:dyDescent="0.4">
      <c r="A2" s="66"/>
      <c r="B2" s="78" t="s">
        <v>1</v>
      </c>
      <c r="C2" s="79" t="s">
        <v>2</v>
      </c>
    </row>
    <row r="3" spans="1:12" x14ac:dyDescent="0.4">
      <c r="A3" s="70" t="s">
        <v>3</v>
      </c>
      <c r="B3" s="74">
        <v>1.103</v>
      </c>
      <c r="C3" s="1">
        <f>$G$22*B3</f>
        <v>1.0666893694671162</v>
      </c>
    </row>
    <row r="4" spans="1:12" x14ac:dyDescent="0.4">
      <c r="A4" s="70" t="s">
        <v>4</v>
      </c>
      <c r="B4" s="74">
        <v>2.206</v>
      </c>
      <c r="C4" s="12">
        <f>B4</f>
        <v>2.206</v>
      </c>
    </row>
    <row r="5" spans="1:12" x14ac:dyDescent="0.4">
      <c r="A5" s="71" t="s">
        <v>5</v>
      </c>
      <c r="B5" s="80">
        <f>(100-(B3/B4)*100)</f>
        <v>50</v>
      </c>
      <c r="C5" s="80">
        <f>(100-(C3/C4)*100)</f>
        <v>51.645994131137066</v>
      </c>
    </row>
    <row r="6" spans="1:12" x14ac:dyDescent="0.4">
      <c r="A6" s="71" t="s">
        <v>6</v>
      </c>
      <c r="B6" s="74">
        <f>$H$21</f>
        <v>3.4050691309901862E-2</v>
      </c>
    </row>
    <row r="7" spans="1:12" x14ac:dyDescent="0.4">
      <c r="A7" s="71" t="s">
        <v>7</v>
      </c>
      <c r="B7" s="74">
        <f>$I$21</f>
        <v>7.5115825029643499</v>
      </c>
    </row>
    <row r="8" spans="1:12" x14ac:dyDescent="0.4">
      <c r="A8" s="72" t="s">
        <v>8</v>
      </c>
      <c r="B8" s="24"/>
    </row>
    <row r="9" spans="1:12" x14ac:dyDescent="0.4">
      <c r="A9" s="70" t="s">
        <v>9</v>
      </c>
      <c r="B9" s="74" t="s">
        <v>10</v>
      </c>
    </row>
    <row r="10" spans="1:12" x14ac:dyDescent="0.4">
      <c r="A10" s="70" t="s">
        <v>11</v>
      </c>
      <c r="B10" s="76">
        <v>5</v>
      </c>
    </row>
    <row r="11" spans="1:12" x14ac:dyDescent="0.4">
      <c r="A11" s="70" t="s">
        <v>12</v>
      </c>
      <c r="B11" s="74">
        <f>$L$21</f>
        <v>5.9836626296350532</v>
      </c>
    </row>
    <row r="12" spans="1:12" x14ac:dyDescent="0.4">
      <c r="A12" s="70" t="s">
        <v>13</v>
      </c>
      <c r="B12" s="74">
        <f>0.58*B11</f>
        <v>3.4705243251883306</v>
      </c>
    </row>
    <row r="13" spans="1:12" x14ac:dyDescent="0.4">
      <c r="A13"/>
      <c r="B13" s="36"/>
    </row>
    <row r="14" spans="1:12" s="33" customFormat="1" x14ac:dyDescent="0.4">
      <c r="A14" s="33" t="s">
        <v>0</v>
      </c>
      <c r="B14" s="34"/>
    </row>
    <row r="15" spans="1:12" s="3" customFormat="1" x14ac:dyDescent="0.4">
      <c r="A15" s="3" t="s">
        <v>14</v>
      </c>
      <c r="B15" s="4"/>
    </row>
    <row r="16" spans="1:12" s="5" customFormat="1" ht="64" x14ac:dyDescent="0.4">
      <c r="A16" s="23" t="s">
        <v>15</v>
      </c>
      <c r="B16" s="23" t="s">
        <v>16</v>
      </c>
      <c r="C16" s="23" t="s">
        <v>17</v>
      </c>
      <c r="D16" s="23" t="s">
        <v>18</v>
      </c>
      <c r="E16" s="23" t="s">
        <v>19</v>
      </c>
      <c r="F16" s="23" t="s">
        <v>20</v>
      </c>
      <c r="G16" s="23" t="s">
        <v>21</v>
      </c>
      <c r="H16" s="23" t="s">
        <v>22</v>
      </c>
      <c r="I16" s="23" t="s">
        <v>23</v>
      </c>
      <c r="J16" s="23" t="s">
        <v>24</v>
      </c>
      <c r="K16" s="23" t="s">
        <v>25</v>
      </c>
      <c r="L16" s="23" t="s">
        <v>12</v>
      </c>
    </row>
    <row r="17" spans="1:12" x14ac:dyDescent="0.4">
      <c r="A17" s="22">
        <v>1</v>
      </c>
      <c r="B17" s="81">
        <v>10.033300000000001</v>
      </c>
      <c r="C17" s="81">
        <v>11.014699999999999</v>
      </c>
      <c r="D17" s="22">
        <f>C17-B17</f>
        <v>0.98139999999999894</v>
      </c>
      <c r="E17" s="81">
        <v>10.981299999999999</v>
      </c>
      <c r="F17" s="22">
        <f>C17-E17</f>
        <v>3.3400000000000318E-2</v>
      </c>
      <c r="G17" s="22">
        <f>D17-F17</f>
        <v>0.94799999999999862</v>
      </c>
      <c r="H17" s="82">
        <f>F17/G17</f>
        <v>3.5232067510548908E-2</v>
      </c>
      <c r="I17" s="51">
        <f>100*H17*$B$3/($B$5*0.01)</f>
        <v>7.772194092827089</v>
      </c>
      <c r="J17" s="22">
        <v>10.9246</v>
      </c>
      <c r="K17" s="22">
        <f>E17-J17</f>
        <v>5.6699999999999307E-2</v>
      </c>
      <c r="L17" s="51">
        <f>100*K17/G17</f>
        <v>5.9810126582277841</v>
      </c>
    </row>
    <row r="18" spans="1:12" x14ac:dyDescent="0.4">
      <c r="A18" s="22">
        <v>2</v>
      </c>
      <c r="B18" s="81">
        <v>10.333600000000001</v>
      </c>
      <c r="C18" s="81">
        <v>11.3803</v>
      </c>
      <c r="D18" s="22">
        <f t="shared" ref="D18:D20" si="0">C18-B18</f>
        <v>1.0466999999999995</v>
      </c>
      <c r="E18" s="81">
        <v>11.3453</v>
      </c>
      <c r="F18" s="22">
        <f t="shared" ref="F18:F20" si="1">C18-E18</f>
        <v>3.5000000000000142E-2</v>
      </c>
      <c r="G18" s="22">
        <f t="shared" ref="G18:G20" si="2">D18-F18</f>
        <v>1.0116999999999994</v>
      </c>
      <c r="H18" s="82">
        <f t="shared" ref="H18:H20" si="3">F18/G18</f>
        <v>3.4595235741820857E-2</v>
      </c>
      <c r="I18" s="51">
        <f t="shared" ref="I18:I20" si="4">100*H18*$B$3/($B$5*0.01)</f>
        <v>7.631709004645681</v>
      </c>
      <c r="J18" s="22">
        <v>11.2857</v>
      </c>
      <c r="K18" s="22">
        <f>E18-J18</f>
        <v>5.9599999999999653E-2</v>
      </c>
      <c r="L18" s="51">
        <f t="shared" ref="L18:L20" si="5">100*K18/G18</f>
        <v>5.8910744291785795</v>
      </c>
    </row>
    <row r="19" spans="1:12" x14ac:dyDescent="0.4">
      <c r="A19" s="22">
        <v>3</v>
      </c>
      <c r="B19" s="81">
        <v>10.961</v>
      </c>
      <c r="C19" s="81">
        <v>11.954000000000001</v>
      </c>
      <c r="D19" s="22">
        <f t="shared" si="0"/>
        <v>0.99300000000000033</v>
      </c>
      <c r="E19" s="81">
        <v>11.9217</v>
      </c>
      <c r="F19" s="22">
        <f t="shared" si="1"/>
        <v>3.2300000000001106E-2</v>
      </c>
      <c r="G19" s="22">
        <f t="shared" si="2"/>
        <v>0.96069999999999922</v>
      </c>
      <c r="H19" s="82">
        <f t="shared" si="3"/>
        <v>3.3621317789113286E-2</v>
      </c>
      <c r="I19" s="51">
        <f t="shared" si="4"/>
        <v>7.4168627042783903</v>
      </c>
      <c r="J19" s="22">
        <v>11.863300000000001</v>
      </c>
      <c r="K19" s="22">
        <f>E19-J19</f>
        <v>5.8399999999998897E-2</v>
      </c>
      <c r="L19" s="51">
        <f t="shared" si="5"/>
        <v>6.0789008014987971</v>
      </c>
    </row>
    <row r="20" spans="1:12" x14ac:dyDescent="0.4">
      <c r="A20" s="22">
        <v>4</v>
      </c>
      <c r="B20" s="81">
        <v>10.044700000000001</v>
      </c>
      <c r="C20" s="81">
        <v>11.078900000000001</v>
      </c>
      <c r="D20" s="22">
        <f t="shared" si="0"/>
        <v>1.0342000000000002</v>
      </c>
      <c r="E20" s="81">
        <v>11.046099999999999</v>
      </c>
      <c r="F20" s="22">
        <f t="shared" si="1"/>
        <v>3.2800000000001717E-2</v>
      </c>
      <c r="G20" s="22">
        <f t="shared" si="2"/>
        <v>1.0013999999999985</v>
      </c>
      <c r="H20" s="82">
        <f t="shared" si="3"/>
        <v>3.2754144198124391E-2</v>
      </c>
      <c r="I20" s="51">
        <f t="shared" si="4"/>
        <v>7.2255642101062403</v>
      </c>
      <c r="J20" s="22">
        <v>10.987399999999999</v>
      </c>
      <c r="K20" s="22">
        <f>E20-J20</f>
        <v>5.8699999999999974E-2</v>
      </c>
      <c r="L20" s="51">
        <f t="shared" si="5"/>
        <v>5.8617934891152448</v>
      </c>
    </row>
    <row r="21" spans="1:12" x14ac:dyDescent="0.4">
      <c r="A21" s="22" t="s">
        <v>26</v>
      </c>
      <c r="B21" s="22"/>
      <c r="C21" s="22"/>
      <c r="D21" s="83">
        <f>AVERAGE(D17:D20)</f>
        <v>1.0138249999999998</v>
      </c>
      <c r="E21" s="22"/>
      <c r="F21" s="22"/>
      <c r="G21" s="83">
        <f>AVERAGE(G17:G20)</f>
        <v>0.98044999999999893</v>
      </c>
      <c r="H21" s="83">
        <f>AVERAGE(H17:H20)</f>
        <v>3.4050691309901862E-2</v>
      </c>
      <c r="I21" s="84">
        <f>AVERAGE(I17:I20)</f>
        <v>7.5115825029643499</v>
      </c>
      <c r="J21" s="22"/>
      <c r="K21" s="83"/>
      <c r="L21" s="84">
        <f>AVERAGE(L17:L19)</f>
        <v>5.9836626296350532</v>
      </c>
    </row>
    <row r="22" spans="1:12" x14ac:dyDescent="0.4">
      <c r="A22" s="22"/>
      <c r="B22" s="22"/>
      <c r="C22" s="22"/>
      <c r="D22" s="22"/>
      <c r="E22" s="22"/>
      <c r="F22" s="22" t="s">
        <v>27</v>
      </c>
      <c r="G22" s="82">
        <f>G21/D21</f>
        <v>0.96708011737725852</v>
      </c>
      <c r="H22" s="83"/>
      <c r="I22" s="84"/>
      <c r="J22" s="22"/>
      <c r="K22" s="83"/>
      <c r="L22" s="84"/>
    </row>
    <row r="24" spans="1:12" s="3" customFormat="1" x14ac:dyDescent="0.4">
      <c r="A24" s="3" t="s">
        <v>28</v>
      </c>
      <c r="B24" s="4"/>
    </row>
    <row r="25" spans="1:12" x14ac:dyDescent="0.4">
      <c r="A25" s="1" t="s">
        <v>5</v>
      </c>
      <c r="B25" s="9">
        <v>0.5</v>
      </c>
    </row>
    <row r="26" spans="1:12" x14ac:dyDescent="0.4">
      <c r="A26" s="1" t="s">
        <v>29</v>
      </c>
      <c r="B26" s="9"/>
    </row>
    <row r="28" spans="1:12" s="5" customFormat="1" ht="32" x14ac:dyDescent="0.4">
      <c r="A28" s="5" t="s">
        <v>30</v>
      </c>
      <c r="B28" s="6" t="s">
        <v>31</v>
      </c>
      <c r="C28" s="5" t="s">
        <v>32</v>
      </c>
      <c r="D28" s="5" t="s">
        <v>33</v>
      </c>
      <c r="E28" s="5" t="s">
        <v>34</v>
      </c>
      <c r="F28" s="5" t="s">
        <v>35</v>
      </c>
    </row>
    <row r="29" spans="1:12" x14ac:dyDescent="0.4">
      <c r="A29" s="1">
        <v>7</v>
      </c>
      <c r="B29" s="10">
        <f t="shared" ref="B29:B31" si="6">A29*$B$25*0.01</f>
        <v>3.5000000000000003E-2</v>
      </c>
      <c r="C29" s="1">
        <v>2</v>
      </c>
      <c r="D29" s="13">
        <f t="shared" ref="D29:D39" si="7">$H$21*C29*1000</f>
        <v>68.101382619803729</v>
      </c>
      <c r="E29" s="13">
        <f t="shared" ref="E29:E39" si="8">B29*C29*1000-D29</f>
        <v>1.8986173801962707</v>
      </c>
      <c r="F29" s="12"/>
    </row>
    <row r="30" spans="1:12" x14ac:dyDescent="0.4">
      <c r="A30" s="1">
        <v>8</v>
      </c>
      <c r="B30" s="10">
        <f t="shared" si="6"/>
        <v>0.04</v>
      </c>
      <c r="C30" s="1">
        <v>2</v>
      </c>
      <c r="D30" s="13">
        <f t="shared" si="7"/>
        <v>68.101382619803729</v>
      </c>
      <c r="E30" s="13">
        <f t="shared" si="8"/>
        <v>11.898617380196271</v>
      </c>
      <c r="F30" s="12"/>
    </row>
    <row r="31" spans="1:12" x14ac:dyDescent="0.4">
      <c r="A31" s="1">
        <v>9</v>
      </c>
      <c r="B31" s="10">
        <f t="shared" si="6"/>
        <v>4.4999999999999998E-2</v>
      </c>
      <c r="C31" s="1">
        <v>2</v>
      </c>
      <c r="D31" s="13">
        <f t="shared" si="7"/>
        <v>68.101382619803729</v>
      </c>
      <c r="E31" s="13">
        <f t="shared" si="8"/>
        <v>21.898617380196271</v>
      </c>
      <c r="F31" s="12"/>
    </row>
    <row r="32" spans="1:12" x14ac:dyDescent="0.4">
      <c r="A32" s="1">
        <v>10</v>
      </c>
      <c r="B32" s="10">
        <f>A32*$B$25*0.01</f>
        <v>0.05</v>
      </c>
      <c r="C32" s="1">
        <v>2</v>
      </c>
      <c r="D32" s="13">
        <f t="shared" si="7"/>
        <v>68.101382619803729</v>
      </c>
      <c r="E32" s="13">
        <f t="shared" si="8"/>
        <v>31.898617380196271</v>
      </c>
      <c r="F32" s="12"/>
    </row>
    <row r="33" spans="1:6" x14ac:dyDescent="0.4">
      <c r="A33" s="1">
        <v>15</v>
      </c>
      <c r="B33" s="10">
        <f t="shared" ref="B33:B35" si="9">A33*$B$25*0.01</f>
        <v>7.4999999999999997E-2</v>
      </c>
      <c r="C33" s="1">
        <v>2</v>
      </c>
      <c r="D33" s="13">
        <f t="shared" si="7"/>
        <v>68.101382619803729</v>
      </c>
      <c r="E33" s="13">
        <f t="shared" si="8"/>
        <v>81.898617380196271</v>
      </c>
      <c r="F33" s="12"/>
    </row>
    <row r="34" spans="1:6" x14ac:dyDescent="0.4">
      <c r="A34" s="1">
        <v>20</v>
      </c>
      <c r="B34" s="10">
        <f t="shared" si="9"/>
        <v>0.1</v>
      </c>
      <c r="C34" s="1">
        <v>2</v>
      </c>
      <c r="D34" s="13">
        <f t="shared" si="7"/>
        <v>68.101382619803729</v>
      </c>
      <c r="E34" s="13">
        <f t="shared" si="8"/>
        <v>131.89861738019627</v>
      </c>
      <c r="F34" s="12"/>
    </row>
    <row r="35" spans="1:6" x14ac:dyDescent="0.4">
      <c r="A35" s="1">
        <v>25</v>
      </c>
      <c r="B35" s="10">
        <f t="shared" si="9"/>
        <v>0.125</v>
      </c>
      <c r="C35" s="1">
        <v>2</v>
      </c>
      <c r="D35" s="13">
        <f t="shared" si="7"/>
        <v>68.101382619803729</v>
      </c>
      <c r="E35" s="13">
        <f t="shared" si="8"/>
        <v>181.89861738019627</v>
      </c>
      <c r="F35" s="12"/>
    </row>
    <row r="36" spans="1:6" x14ac:dyDescent="0.4">
      <c r="A36" s="1">
        <v>30</v>
      </c>
      <c r="B36" s="10">
        <f t="shared" ref="B36:B39" si="10">A36*$B$25*0.01</f>
        <v>0.15</v>
      </c>
      <c r="C36" s="1">
        <v>2</v>
      </c>
      <c r="D36" s="13">
        <f t="shared" si="7"/>
        <v>68.101382619803729</v>
      </c>
      <c r="E36" s="13">
        <f t="shared" si="8"/>
        <v>231.89861738019627</v>
      </c>
      <c r="F36" s="12"/>
    </row>
    <row r="37" spans="1:6" x14ac:dyDescent="0.4">
      <c r="A37" s="1">
        <v>40</v>
      </c>
      <c r="B37" s="2">
        <f t="shared" si="10"/>
        <v>0.2</v>
      </c>
      <c r="C37" s="1">
        <v>2</v>
      </c>
      <c r="D37" s="13">
        <f t="shared" si="7"/>
        <v>68.101382619803729</v>
      </c>
      <c r="E37" s="13">
        <f t="shared" si="8"/>
        <v>331.89861738019624</v>
      </c>
    </row>
    <row r="38" spans="1:6" x14ac:dyDescent="0.4">
      <c r="A38" s="1">
        <v>10</v>
      </c>
      <c r="B38" s="2">
        <f t="shared" si="10"/>
        <v>0.05</v>
      </c>
      <c r="C38" s="1">
        <v>3</v>
      </c>
      <c r="D38" s="13">
        <f t="shared" si="7"/>
        <v>102.15207392970558</v>
      </c>
      <c r="E38" s="13">
        <f t="shared" si="8"/>
        <v>47.847926070294449</v>
      </c>
    </row>
    <row r="39" spans="1:6" x14ac:dyDescent="0.4">
      <c r="A39" s="1">
        <v>20</v>
      </c>
      <c r="B39" s="2">
        <f t="shared" si="10"/>
        <v>0.1</v>
      </c>
      <c r="C39" s="1">
        <v>3</v>
      </c>
      <c r="D39" s="13">
        <f t="shared" si="7"/>
        <v>102.15207392970558</v>
      </c>
      <c r="E39" s="13">
        <f t="shared" si="8"/>
        <v>197.84792607029448</v>
      </c>
    </row>
    <row r="40" spans="1:6" x14ac:dyDescent="0.4">
      <c r="D40" s="13"/>
      <c r="E40" s="13"/>
    </row>
    <row r="41" spans="1:6" x14ac:dyDescent="0.4">
      <c r="A41" s="1" t="s">
        <v>36</v>
      </c>
    </row>
    <row r="42" spans="1:6" x14ac:dyDescent="0.4">
      <c r="A42" s="11">
        <f>B42*100/$B$25</f>
        <v>14.310138261980374</v>
      </c>
      <c r="B42" s="32">
        <f>(E42+D42)/(C42*1000)</f>
        <v>7.1550691309901868E-2</v>
      </c>
      <c r="C42" s="1">
        <v>2</v>
      </c>
      <c r="D42" s="13">
        <f>$H$21*C42*1000</f>
        <v>68.101382619803729</v>
      </c>
      <c r="E42" s="1">
        <v>75</v>
      </c>
    </row>
    <row r="43" spans="1:6" x14ac:dyDescent="0.4">
      <c r="A43" s="11">
        <f>B43*100/$B$25</f>
        <v>21.310138261980374</v>
      </c>
      <c r="B43" s="32">
        <f>(E43+D43)/(C43*1000)</f>
        <v>0.10655069130990187</v>
      </c>
      <c r="C43" s="1">
        <v>2</v>
      </c>
      <c r="D43" s="13">
        <f>$H$21*C43*1000</f>
        <v>68.101382619803729</v>
      </c>
      <c r="E43" s="1">
        <v>145</v>
      </c>
    </row>
    <row r="44" spans="1:6" x14ac:dyDescent="0.4">
      <c r="A44" s="11"/>
      <c r="B44" s="32"/>
      <c r="D44" s="13"/>
    </row>
    <row r="45" spans="1:6" x14ac:dyDescent="0.4">
      <c r="A45" s="11"/>
      <c r="D45" s="13"/>
    </row>
    <row r="47" spans="1:6" s="33" customFormat="1" x14ac:dyDescent="0.4">
      <c r="A47" s="33" t="s">
        <v>37</v>
      </c>
      <c r="B47" s="34"/>
    </row>
    <row r="48" spans="1:6" x14ac:dyDescent="0.4">
      <c r="A48" s="123" t="s">
        <v>37</v>
      </c>
      <c r="B48" s="123"/>
    </row>
    <row r="49" spans="1:12" x14ac:dyDescent="0.4">
      <c r="A49" s="66"/>
      <c r="B49" s="78" t="s">
        <v>1</v>
      </c>
      <c r="C49" s="79" t="s">
        <v>2</v>
      </c>
    </row>
    <row r="50" spans="1:12" x14ac:dyDescent="0.4">
      <c r="A50" s="70" t="s">
        <v>3</v>
      </c>
      <c r="B50" s="73">
        <v>1.127</v>
      </c>
      <c r="C50" s="1">
        <f>$G$68*B50</f>
        <v>1.0945960734642177</v>
      </c>
    </row>
    <row r="51" spans="1:12" x14ac:dyDescent="0.4">
      <c r="A51" s="70" t="s">
        <v>4</v>
      </c>
      <c r="B51" s="73">
        <v>2.1259999999999999</v>
      </c>
      <c r="C51" s="12">
        <f>B51</f>
        <v>2.1259999999999999</v>
      </c>
    </row>
    <row r="52" spans="1:12" x14ac:dyDescent="0.4">
      <c r="A52" s="71" t="s">
        <v>5</v>
      </c>
      <c r="B52" s="80">
        <f>(100-(B50/B51)*100)</f>
        <v>46.98965192850423</v>
      </c>
      <c r="C52" s="80">
        <f>(100-(C50/C51)*100)</f>
        <v>48.513825330939895</v>
      </c>
    </row>
    <row r="53" spans="1:12" x14ac:dyDescent="0.4">
      <c r="A53" s="71" t="s">
        <v>6</v>
      </c>
      <c r="B53" s="74">
        <f>$H$67</f>
        <v>2.8961394975183408E-2</v>
      </c>
    </row>
    <row r="54" spans="1:12" x14ac:dyDescent="0.4">
      <c r="A54" s="71" t="s">
        <v>7</v>
      </c>
      <c r="B54" s="74">
        <f>$I$67</f>
        <v>6.534431990392771</v>
      </c>
    </row>
    <row r="55" spans="1:12" x14ac:dyDescent="0.4">
      <c r="A55" s="72" t="s">
        <v>8</v>
      </c>
      <c r="B55" s="24"/>
    </row>
    <row r="56" spans="1:12" x14ac:dyDescent="0.4">
      <c r="A56" s="70" t="s">
        <v>9</v>
      </c>
      <c r="B56" s="74" t="s">
        <v>10</v>
      </c>
    </row>
    <row r="57" spans="1:12" x14ac:dyDescent="0.4">
      <c r="A57" s="70" t="s">
        <v>11</v>
      </c>
      <c r="B57" s="76">
        <v>5</v>
      </c>
    </row>
    <row r="58" spans="1:12" x14ac:dyDescent="0.4">
      <c r="A58" s="70" t="s">
        <v>12</v>
      </c>
      <c r="B58" s="75">
        <f>$L$67</f>
        <v>5.930599439312001</v>
      </c>
    </row>
    <row r="59" spans="1:12" x14ac:dyDescent="0.4">
      <c r="A59" s="70" t="s">
        <v>13</v>
      </c>
      <c r="B59" s="75">
        <f>0.58*B58</f>
        <v>3.4397476748009601</v>
      </c>
    </row>
    <row r="60" spans="1:12" x14ac:dyDescent="0.4">
      <c r="A60" s="77"/>
      <c r="B60" s="12"/>
    </row>
    <row r="61" spans="1:12" s="3" customFormat="1" x14ac:dyDescent="0.4">
      <c r="A61" s="3" t="s">
        <v>14</v>
      </c>
      <c r="B61" s="4"/>
    </row>
    <row r="62" spans="1:12" s="5" customFormat="1" ht="64" x14ac:dyDescent="0.4">
      <c r="A62" s="23" t="s">
        <v>15</v>
      </c>
      <c r="B62" s="23" t="s">
        <v>16</v>
      </c>
      <c r="C62" s="23" t="s">
        <v>17</v>
      </c>
      <c r="D62" s="23" t="s">
        <v>18</v>
      </c>
      <c r="E62" s="23" t="s">
        <v>19</v>
      </c>
      <c r="F62" s="23" t="s">
        <v>20</v>
      </c>
      <c r="G62" s="23" t="s">
        <v>21</v>
      </c>
      <c r="H62" s="23" t="s">
        <v>22</v>
      </c>
      <c r="I62" s="23" t="s">
        <v>23</v>
      </c>
      <c r="J62" s="23" t="s">
        <v>24</v>
      </c>
      <c r="K62" s="23" t="s">
        <v>25</v>
      </c>
      <c r="L62" s="23" t="s">
        <v>12</v>
      </c>
    </row>
    <row r="63" spans="1:12" x14ac:dyDescent="0.4">
      <c r="A63" s="1">
        <v>1</v>
      </c>
      <c r="B63" s="1">
        <v>10.7577</v>
      </c>
      <c r="C63" s="1">
        <v>11.729200000000001</v>
      </c>
      <c r="D63" s="1">
        <f>C63-B63</f>
        <v>0.9715000000000007</v>
      </c>
      <c r="E63" s="1">
        <v>11.7003</v>
      </c>
      <c r="F63" s="1">
        <f>C63-E63</f>
        <v>2.8900000000000148E-2</v>
      </c>
      <c r="G63" s="1">
        <f>D63-F63</f>
        <v>0.94260000000000055</v>
      </c>
      <c r="H63" s="7">
        <f>F63/G63</f>
        <v>3.0659876936134235E-2</v>
      </c>
      <c r="I63" s="37">
        <f>100*H63*$C$50/(0.01*$C$52)</f>
        <v>6.91765299443116</v>
      </c>
      <c r="J63" s="1">
        <v>11.6462</v>
      </c>
      <c r="K63" s="1">
        <f>E63-J63</f>
        <v>5.4100000000000037E-2</v>
      </c>
      <c r="L63" s="37">
        <f>100*K63/G63</f>
        <v>5.7394440908126461</v>
      </c>
    </row>
    <row r="64" spans="1:12" x14ac:dyDescent="0.4">
      <c r="A64" s="1">
        <v>2</v>
      </c>
      <c r="B64" s="1">
        <v>10.256600000000001</v>
      </c>
      <c r="C64" s="1">
        <v>11.2987</v>
      </c>
      <c r="D64" s="1">
        <f t="shared" ref="D64:D66" si="11">C64-B64</f>
        <v>1.0420999999999996</v>
      </c>
      <c r="E64" s="1">
        <v>11.2676</v>
      </c>
      <c r="F64" s="1">
        <f t="shared" ref="F64:F66" si="12">C64-E64</f>
        <v>3.110000000000035E-2</v>
      </c>
      <c r="G64" s="1">
        <f t="shared" ref="G64:G66" si="13">D64-F64</f>
        <v>1.0109999999999992</v>
      </c>
      <c r="H64" s="7">
        <f>F64/D64</f>
        <v>2.9843585068611806E-2</v>
      </c>
      <c r="I64" s="37">
        <f t="shared" ref="I64:I66" si="14">100*H64*$C$50/(0.01*$C$52)</f>
        <v>6.7334766556461441</v>
      </c>
      <c r="J64" s="1">
        <v>11.2057</v>
      </c>
      <c r="K64" s="1">
        <f>E64-J64</f>
        <v>6.1899999999999622E-2</v>
      </c>
      <c r="L64" s="37">
        <f t="shared" ref="L64:L66" si="15">100*K64/G64</f>
        <v>6.1226508407516986</v>
      </c>
    </row>
    <row r="65" spans="1:12" x14ac:dyDescent="0.4">
      <c r="A65" s="1">
        <v>3</v>
      </c>
      <c r="B65" s="1">
        <v>10.7204</v>
      </c>
      <c r="C65" s="1">
        <v>11.6761</v>
      </c>
      <c r="D65" s="7">
        <f t="shared" si="11"/>
        <v>0.95570000000000022</v>
      </c>
      <c r="E65" s="1">
        <v>11.649100000000001</v>
      </c>
      <c r="F65" s="1">
        <f t="shared" si="12"/>
        <v>2.6999999999999247E-2</v>
      </c>
      <c r="G65" s="1">
        <f t="shared" si="13"/>
        <v>0.92870000000000097</v>
      </c>
      <c r="H65" s="7">
        <f>F65/D65</f>
        <v>2.8251543371350048E-2</v>
      </c>
      <c r="I65" s="37">
        <f t="shared" si="14"/>
        <v>6.3742712994973578</v>
      </c>
      <c r="J65" s="1">
        <v>11.5936</v>
      </c>
      <c r="K65" s="1">
        <f>E65-J65</f>
        <v>5.5500000000000327E-2</v>
      </c>
      <c r="L65" s="37">
        <f t="shared" si="15"/>
        <v>5.9760956175299098</v>
      </c>
    </row>
    <row r="66" spans="1:12" x14ac:dyDescent="0.4">
      <c r="A66" s="1">
        <v>4</v>
      </c>
      <c r="B66" s="2">
        <v>9.9212000000000007</v>
      </c>
      <c r="C66" s="1">
        <v>10.8994</v>
      </c>
      <c r="D66" s="1">
        <f t="shared" si="11"/>
        <v>0.97819999999999929</v>
      </c>
      <c r="E66" s="1">
        <v>10.8729</v>
      </c>
      <c r="F66" s="1">
        <f t="shared" si="12"/>
        <v>2.6500000000000412E-2</v>
      </c>
      <c r="G66" s="1">
        <f t="shared" si="13"/>
        <v>0.95169999999999888</v>
      </c>
      <c r="H66" s="7">
        <f>F66/D66</f>
        <v>2.7090574524637531E-2</v>
      </c>
      <c r="I66" s="37">
        <f t="shared" si="14"/>
        <v>6.1123270119964204</v>
      </c>
      <c r="J66" s="1">
        <v>10.8169</v>
      </c>
      <c r="K66" s="1">
        <f>E66-J66</f>
        <v>5.5999999999999162E-2</v>
      </c>
      <c r="L66" s="37">
        <f t="shared" si="15"/>
        <v>5.8842072081537484</v>
      </c>
    </row>
    <row r="67" spans="1:12" x14ac:dyDescent="0.4">
      <c r="A67" s="2" t="s">
        <v>38</v>
      </c>
      <c r="B67" s="1"/>
      <c r="D67" s="38">
        <f>AVERAGE(D63:D66)</f>
        <v>0.98687499999999995</v>
      </c>
      <c r="G67" s="38">
        <f>AVERAGE(G63:G66)</f>
        <v>0.95849999999999991</v>
      </c>
      <c r="H67" s="38">
        <f>AVERAGE(H63:H66)</f>
        <v>2.8961394975183408E-2</v>
      </c>
      <c r="I67" s="39">
        <f>AVERAGE(I63:I66)</f>
        <v>6.534431990392771</v>
      </c>
      <c r="L67" s="39">
        <f>AVERAGE(L63:L66)</f>
        <v>5.930599439312001</v>
      </c>
    </row>
    <row r="68" spans="1:12" x14ac:dyDescent="0.4">
      <c r="A68" s="2"/>
      <c r="B68" s="1"/>
      <c r="F68" s="1" t="s">
        <v>27</v>
      </c>
      <c r="G68" s="38">
        <f>G67/D67</f>
        <v>0.97124762507916396</v>
      </c>
      <c r="H68" s="39"/>
      <c r="K68" s="2"/>
      <c r="L68" s="39"/>
    </row>
    <row r="70" spans="1:12" s="3" customFormat="1" x14ac:dyDescent="0.4">
      <c r="A70" s="3" t="s">
        <v>28</v>
      </c>
      <c r="B70" s="4"/>
    </row>
    <row r="71" spans="1:12" x14ac:dyDescent="0.4">
      <c r="A71" s="1" t="s">
        <v>5</v>
      </c>
      <c r="B71" s="9">
        <v>0.47</v>
      </c>
    </row>
    <row r="72" spans="1:12" x14ac:dyDescent="0.4">
      <c r="A72" s="1" t="s">
        <v>29</v>
      </c>
    </row>
    <row r="74" spans="1:12" s="5" customFormat="1" ht="32" x14ac:dyDescent="0.4">
      <c r="A74" s="5" t="s">
        <v>30</v>
      </c>
      <c r="B74" s="6" t="s">
        <v>31</v>
      </c>
      <c r="C74" s="5" t="s">
        <v>32</v>
      </c>
      <c r="D74" s="5" t="s">
        <v>33</v>
      </c>
      <c r="E74" s="5" t="s">
        <v>34</v>
      </c>
      <c r="F74" s="5" t="s">
        <v>35</v>
      </c>
    </row>
    <row r="75" spans="1:12" x14ac:dyDescent="0.4">
      <c r="A75" s="1">
        <v>7</v>
      </c>
      <c r="B75" s="10">
        <f>A75*$B$71*0.01</f>
        <v>3.2899999999999999E-2</v>
      </c>
      <c r="C75" s="1">
        <v>2</v>
      </c>
      <c r="D75" s="13">
        <f t="shared" ref="D75:D81" si="16">$H$67*C75*1000</f>
        <v>57.922789950366813</v>
      </c>
      <c r="E75" s="13">
        <f t="shared" ref="E75:E81" si="17">B75*C75*1000-D75</f>
        <v>7.8772100496331845</v>
      </c>
      <c r="F75" s="12"/>
    </row>
    <row r="76" spans="1:12" x14ac:dyDescent="0.4">
      <c r="A76" s="1">
        <v>8</v>
      </c>
      <c r="B76" s="10">
        <f t="shared" ref="B76:B81" si="18">A76*$B$71*0.01</f>
        <v>3.7600000000000001E-2</v>
      </c>
      <c r="C76" s="1">
        <v>2</v>
      </c>
      <c r="D76" s="13">
        <f t="shared" si="16"/>
        <v>57.922789950366813</v>
      </c>
      <c r="E76" s="13">
        <f t="shared" si="17"/>
        <v>17.27721004963319</v>
      </c>
      <c r="F76" s="12"/>
    </row>
    <row r="77" spans="1:12" x14ac:dyDescent="0.4">
      <c r="A77" s="1">
        <v>9</v>
      </c>
      <c r="B77" s="10">
        <f t="shared" si="18"/>
        <v>4.2299999999999997E-2</v>
      </c>
      <c r="C77" s="1">
        <v>2</v>
      </c>
      <c r="D77" s="13">
        <f t="shared" si="16"/>
        <v>57.922789950366813</v>
      </c>
      <c r="E77" s="13">
        <f t="shared" si="17"/>
        <v>26.677210049633182</v>
      </c>
      <c r="F77" s="12"/>
    </row>
    <row r="78" spans="1:12" x14ac:dyDescent="0.4">
      <c r="A78" s="1">
        <v>10</v>
      </c>
      <c r="B78" s="10">
        <f t="shared" si="18"/>
        <v>4.6999999999999993E-2</v>
      </c>
      <c r="C78" s="1">
        <v>2</v>
      </c>
      <c r="D78" s="13">
        <f t="shared" si="16"/>
        <v>57.922789950366813</v>
      </c>
      <c r="E78" s="13">
        <f t="shared" si="17"/>
        <v>36.077210049633173</v>
      </c>
      <c r="F78" s="12"/>
    </row>
    <row r="79" spans="1:12" x14ac:dyDescent="0.4">
      <c r="A79" s="1">
        <v>15</v>
      </c>
      <c r="B79" s="10">
        <f t="shared" si="18"/>
        <v>7.0499999999999993E-2</v>
      </c>
      <c r="C79" s="1">
        <v>2</v>
      </c>
      <c r="D79" s="13">
        <f t="shared" si="16"/>
        <v>57.922789950366813</v>
      </c>
      <c r="E79" s="13">
        <f t="shared" si="17"/>
        <v>83.07721004963318</v>
      </c>
      <c r="F79" s="12"/>
    </row>
    <row r="80" spans="1:12" x14ac:dyDescent="0.4">
      <c r="A80" s="1">
        <v>20</v>
      </c>
      <c r="B80" s="10">
        <f t="shared" si="18"/>
        <v>9.3999999999999986E-2</v>
      </c>
      <c r="C80" s="1">
        <v>2</v>
      </c>
      <c r="D80" s="13">
        <f t="shared" si="16"/>
        <v>57.922789950366813</v>
      </c>
      <c r="E80" s="13">
        <f t="shared" si="17"/>
        <v>130.07721004963315</v>
      </c>
    </row>
    <row r="81" spans="1:5" x14ac:dyDescent="0.4">
      <c r="A81" s="1">
        <v>25</v>
      </c>
      <c r="B81" s="2">
        <f t="shared" si="18"/>
        <v>0.11750000000000001</v>
      </c>
      <c r="C81" s="1">
        <v>2</v>
      </c>
      <c r="D81" s="13">
        <f t="shared" si="16"/>
        <v>57.922789950366813</v>
      </c>
      <c r="E81" s="13">
        <f t="shared" si="17"/>
        <v>177.07721004963321</v>
      </c>
    </row>
    <row r="82" spans="1:5" x14ac:dyDescent="0.4">
      <c r="D82" s="13"/>
      <c r="E82" s="13"/>
    </row>
    <row r="83" spans="1:5" x14ac:dyDescent="0.4">
      <c r="A83" s="1" t="s">
        <v>36</v>
      </c>
      <c r="D83" s="13"/>
      <c r="E83" s="13"/>
    </row>
    <row r="84" spans="1:5" x14ac:dyDescent="0.4">
      <c r="A84" s="11">
        <f>B84*100/$B$71</f>
        <v>14.140722335145407</v>
      </c>
      <c r="B84" s="10">
        <f>(E84+D84)/(C84*1000)</f>
        <v>6.6461394975183413E-2</v>
      </c>
      <c r="C84" s="1">
        <v>2</v>
      </c>
      <c r="D84" s="13">
        <f>$H$67*C84*1000</f>
        <v>57.922789950366813</v>
      </c>
      <c r="E84" s="1">
        <v>75</v>
      </c>
    </row>
    <row r="85" spans="1:5" x14ac:dyDescent="0.4">
      <c r="A85" s="11">
        <f>B85*100/$B$71</f>
        <v>21.587530845783707</v>
      </c>
      <c r="B85" s="10">
        <f>(E85+D85)/(C85*1000)</f>
        <v>0.10146139497518342</v>
      </c>
      <c r="C85" s="1">
        <v>2</v>
      </c>
      <c r="D85" s="13">
        <f>$H$67*C85*1000</f>
        <v>57.922789950366813</v>
      </c>
      <c r="E85" s="1">
        <v>145</v>
      </c>
    </row>
    <row r="86" spans="1:5" x14ac:dyDescent="0.4">
      <c r="A86" s="11">
        <f t="shared" ref="A86:A87" si="19">B86*100/$B$71</f>
        <v>9.3534882925922158</v>
      </c>
      <c r="B86" s="10">
        <f t="shared" ref="B86:B87" si="20">(E86+D86)/(C86*1000)</f>
        <v>4.3961394975183407E-2</v>
      </c>
      <c r="C86" s="1">
        <v>2</v>
      </c>
      <c r="D86" s="13">
        <f>$H$67*C86*1000</f>
        <v>57.922789950366813</v>
      </c>
      <c r="E86" s="13">
        <v>30</v>
      </c>
    </row>
    <row r="87" spans="1:5" x14ac:dyDescent="0.4">
      <c r="A87" s="11">
        <f t="shared" si="19"/>
        <v>13.608807441528386</v>
      </c>
      <c r="B87" s="10">
        <f t="shared" si="20"/>
        <v>6.3961394975183411E-2</v>
      </c>
      <c r="C87" s="1">
        <v>2</v>
      </c>
      <c r="D87" s="13">
        <f>$H$67*C87*1000</f>
        <v>57.922789950366813</v>
      </c>
      <c r="E87" s="13">
        <v>70</v>
      </c>
    </row>
    <row r="88" spans="1:5" x14ac:dyDescent="0.4">
      <c r="D88" s="13"/>
      <c r="E88" s="13"/>
    </row>
    <row r="90" spans="1:5" s="33" customFormat="1" x14ac:dyDescent="0.4">
      <c r="A90" s="33" t="s">
        <v>39</v>
      </c>
      <c r="B90" s="34"/>
    </row>
    <row r="91" spans="1:5" x14ac:dyDescent="0.4">
      <c r="A91" s="123" t="s">
        <v>39</v>
      </c>
      <c r="B91" s="123"/>
    </row>
    <row r="92" spans="1:5" x14ac:dyDescent="0.4">
      <c r="A92" s="66"/>
      <c r="B92" s="78" t="s">
        <v>1</v>
      </c>
      <c r="C92" s="79" t="s">
        <v>2</v>
      </c>
    </row>
    <row r="93" spans="1:5" x14ac:dyDescent="0.4">
      <c r="A93" s="70" t="s">
        <v>3</v>
      </c>
      <c r="B93" s="73">
        <v>1.0509999999999999</v>
      </c>
      <c r="C93" s="1">
        <f>$G$111*B93</f>
        <v>1.0082587724960621</v>
      </c>
    </row>
    <row r="94" spans="1:5" x14ac:dyDescent="0.4">
      <c r="A94" s="70" t="s">
        <v>4</v>
      </c>
      <c r="B94" s="73">
        <v>2.1896</v>
      </c>
      <c r="C94" s="12">
        <f>B94</f>
        <v>2.1896</v>
      </c>
    </row>
    <row r="95" spans="1:5" x14ac:dyDescent="0.4">
      <c r="A95" s="71" t="s">
        <v>5</v>
      </c>
      <c r="B95" s="80">
        <f>(100-(B93/B94)*100)</f>
        <v>52.000365363536723</v>
      </c>
      <c r="C95" s="80">
        <f>(100-(C93/C94)*100)</f>
        <v>53.952376119105679</v>
      </c>
    </row>
    <row r="96" spans="1:5" x14ac:dyDescent="0.4">
      <c r="A96" s="71" t="s">
        <v>6</v>
      </c>
      <c r="B96" s="53">
        <f>$H$110</f>
        <v>4.1106748173580981E-2</v>
      </c>
    </row>
    <row r="97" spans="1:12" x14ac:dyDescent="0.4">
      <c r="A97" s="71" t="s">
        <v>7</v>
      </c>
      <c r="B97" s="53">
        <f>$I$110</f>
        <v>7.6820044706284039</v>
      </c>
    </row>
    <row r="98" spans="1:12" x14ac:dyDescent="0.4">
      <c r="A98" s="72" t="s">
        <v>8</v>
      </c>
      <c r="B98" s="52"/>
    </row>
    <row r="99" spans="1:12" x14ac:dyDescent="0.4">
      <c r="A99" s="70" t="s">
        <v>9</v>
      </c>
      <c r="B99" s="2" t="s">
        <v>40</v>
      </c>
    </row>
    <row r="100" spans="1:12" x14ac:dyDescent="0.4">
      <c r="A100" s="70" t="s">
        <v>11</v>
      </c>
      <c r="B100" s="52">
        <v>4.7</v>
      </c>
    </row>
    <row r="101" spans="1:12" x14ac:dyDescent="0.4">
      <c r="A101" s="70" t="s">
        <v>12</v>
      </c>
      <c r="B101" s="51">
        <f>$L$110</f>
        <v>7.6702234016304276</v>
      </c>
    </row>
    <row r="102" spans="1:12" x14ac:dyDescent="0.4">
      <c r="A102" s="70" t="s">
        <v>13</v>
      </c>
      <c r="B102" s="51">
        <f>0.58*B101</f>
        <v>4.4487295729456475</v>
      </c>
    </row>
    <row r="103" spans="1:12" x14ac:dyDescent="0.4">
      <c r="A103" s="77"/>
      <c r="B103" s="37"/>
    </row>
    <row r="104" spans="1:12" s="3" customFormat="1" x14ac:dyDescent="0.4">
      <c r="A104" s="3" t="s">
        <v>14</v>
      </c>
      <c r="B104" s="4"/>
    </row>
    <row r="105" spans="1:12" s="5" customFormat="1" ht="64" x14ac:dyDescent="0.4">
      <c r="A105" s="23" t="s">
        <v>15</v>
      </c>
      <c r="B105" s="23" t="s">
        <v>16</v>
      </c>
      <c r="C105" s="23" t="s">
        <v>17</v>
      </c>
      <c r="D105" s="23" t="s">
        <v>18</v>
      </c>
      <c r="E105" s="23" t="s">
        <v>19</v>
      </c>
      <c r="F105" s="23" t="s">
        <v>20</v>
      </c>
      <c r="G105" s="23" t="s">
        <v>21</v>
      </c>
      <c r="H105" s="23" t="s">
        <v>22</v>
      </c>
      <c r="I105" s="23" t="s">
        <v>23</v>
      </c>
      <c r="J105" s="23" t="s">
        <v>24</v>
      </c>
      <c r="K105" s="23" t="s">
        <v>25</v>
      </c>
      <c r="L105" s="23" t="s">
        <v>12</v>
      </c>
    </row>
    <row r="106" spans="1:12" x14ac:dyDescent="0.4">
      <c r="A106" s="22">
        <v>1</v>
      </c>
      <c r="B106" s="52">
        <v>10.290100000000001</v>
      </c>
      <c r="C106" s="22">
        <v>11.282999999999999</v>
      </c>
      <c r="D106" s="22">
        <f>C191-B191</f>
        <v>0.99370000000000047</v>
      </c>
      <c r="E106" s="22">
        <v>11.252000000000001</v>
      </c>
      <c r="F106" s="22">
        <f>C191-E191</f>
        <v>4.1700000000000514E-2</v>
      </c>
      <c r="G106" s="22">
        <f>D106-F106</f>
        <v>0.95199999999999996</v>
      </c>
      <c r="H106" s="82">
        <f>F106/G106</f>
        <v>4.3802521008403907E-2</v>
      </c>
      <c r="I106" s="51">
        <f>100*H106*$C$93/(0.01*$C$95)</f>
        <v>8.185788882897187</v>
      </c>
      <c r="J106" s="22">
        <v>11.182399999999999</v>
      </c>
      <c r="K106" s="22">
        <f>E106-J106</f>
        <v>6.9600000000001216E-2</v>
      </c>
      <c r="L106" s="51">
        <f>100*K106/G106</f>
        <v>7.3109243697480268</v>
      </c>
    </row>
    <row r="107" spans="1:12" x14ac:dyDescent="0.4">
      <c r="A107" s="22">
        <v>2</v>
      </c>
      <c r="B107" s="52">
        <v>10.8703</v>
      </c>
      <c r="C107" s="22">
        <v>11.8636</v>
      </c>
      <c r="D107" s="22">
        <f>C192-B192</f>
        <v>0.98470000000000013</v>
      </c>
      <c r="E107" s="22">
        <v>11.8338</v>
      </c>
      <c r="F107" s="22">
        <f>C192-E192</f>
        <v>4.1700000000000514E-2</v>
      </c>
      <c r="G107" s="22">
        <f t="shared" ref="G107:G109" si="21">D107-F107</f>
        <v>0.94299999999999962</v>
      </c>
      <c r="H107" s="82">
        <f>F107/D107</f>
        <v>4.234792322534834E-2</v>
      </c>
      <c r="I107" s="51">
        <f t="shared" ref="I107:I109" si="22">100*H107*$C$93/(0.01*$C$95)</f>
        <v>7.9139545206845945</v>
      </c>
      <c r="J107" s="22">
        <v>11.7638</v>
      </c>
      <c r="K107" s="22">
        <f>E107-J107</f>
        <v>7.0000000000000284E-2</v>
      </c>
      <c r="L107" s="51">
        <f t="shared" ref="L107:L109" si="23">100*K107/G107</f>
        <v>7.4231177094379968</v>
      </c>
    </row>
    <row r="108" spans="1:12" x14ac:dyDescent="0.4">
      <c r="A108" s="22">
        <v>3</v>
      </c>
      <c r="B108" s="52">
        <v>10.856199999999999</v>
      </c>
      <c r="C108" s="22">
        <v>11.8522</v>
      </c>
      <c r="D108" s="82">
        <f>C193-B193</f>
        <v>0.93319999999999936</v>
      </c>
      <c r="E108" s="22">
        <v>11.823399999999999</v>
      </c>
      <c r="F108" s="22">
        <f>C193-E193</f>
        <v>3.8100000000000023E-2</v>
      </c>
      <c r="G108" s="22">
        <f t="shared" si="21"/>
        <v>0.89509999999999934</v>
      </c>
      <c r="H108" s="82">
        <f>F108/D108</f>
        <v>4.082726103729109E-2</v>
      </c>
      <c r="I108" s="51">
        <f t="shared" si="22"/>
        <v>7.629774082046076</v>
      </c>
      <c r="J108" s="22">
        <v>11.7506</v>
      </c>
      <c r="K108" s="22">
        <f>E108-J108</f>
        <v>7.2799999999999088E-2</v>
      </c>
      <c r="L108" s="51">
        <f t="shared" si="23"/>
        <v>8.1331694782704886</v>
      </c>
    </row>
    <row r="109" spans="1:12" x14ac:dyDescent="0.4">
      <c r="A109" s="22">
        <v>4</v>
      </c>
      <c r="B109" s="52">
        <v>10.492699999999999</v>
      </c>
      <c r="C109" s="22">
        <v>11.494899999999999</v>
      </c>
      <c r="D109" s="22">
        <f>C194-B194</f>
        <v>0.9612999999999996</v>
      </c>
      <c r="E109" s="22">
        <v>11.468</v>
      </c>
      <c r="F109" s="22">
        <f>C194-E194</f>
        <v>3.5999999999999588E-2</v>
      </c>
      <c r="G109" s="22">
        <f t="shared" si="21"/>
        <v>0.92530000000000001</v>
      </c>
      <c r="H109" s="82">
        <f>F109/D109</f>
        <v>3.7449287423280561E-2</v>
      </c>
      <c r="I109" s="51">
        <f t="shared" si="22"/>
        <v>6.9985003968857562</v>
      </c>
      <c r="J109" s="22">
        <v>11.3957</v>
      </c>
      <c r="K109" s="22">
        <f>E109-J109</f>
        <v>7.2300000000000253E-2</v>
      </c>
      <c r="L109" s="51">
        <f t="shared" si="23"/>
        <v>7.8136820490651955</v>
      </c>
    </row>
    <row r="110" spans="1:12" x14ac:dyDescent="0.4">
      <c r="A110" s="52" t="s">
        <v>38</v>
      </c>
      <c r="B110" s="22"/>
      <c r="C110" s="22"/>
      <c r="D110" s="85">
        <f>AVERAGE(D106:D109)</f>
        <v>0.96822499999999989</v>
      </c>
      <c r="E110" s="22"/>
      <c r="F110" s="22"/>
      <c r="G110" s="85">
        <f>AVERAGE(G106:G109)</f>
        <v>0.92884999999999973</v>
      </c>
      <c r="H110" s="85">
        <f>AVERAGE(H106:H109)</f>
        <v>4.1106748173580981E-2</v>
      </c>
      <c r="I110" s="86">
        <f>AVERAGE(I106:I109)</f>
        <v>7.6820044706284039</v>
      </c>
      <c r="J110" s="22"/>
      <c r="K110" s="22"/>
      <c r="L110" s="86">
        <f>AVERAGE(L106:L109)</f>
        <v>7.6702234016304276</v>
      </c>
    </row>
    <row r="111" spans="1:12" x14ac:dyDescent="0.4">
      <c r="A111" s="52"/>
      <c r="B111" s="22"/>
      <c r="C111" s="22"/>
      <c r="D111" s="22"/>
      <c r="E111" s="22"/>
      <c r="F111" s="22" t="s">
        <v>27</v>
      </c>
      <c r="G111" s="85">
        <f>G110/D110</f>
        <v>0.95933279971081087</v>
      </c>
      <c r="H111" s="86"/>
      <c r="I111" s="22"/>
      <c r="J111" s="22"/>
      <c r="K111" s="52"/>
      <c r="L111" s="86"/>
    </row>
    <row r="113" spans="1:6" s="3" customFormat="1" x14ac:dyDescent="0.4">
      <c r="A113" s="3" t="s">
        <v>28</v>
      </c>
      <c r="B113" s="4"/>
    </row>
    <row r="114" spans="1:6" x14ac:dyDescent="0.4">
      <c r="A114" s="1" t="s">
        <v>5</v>
      </c>
      <c r="B114" s="9">
        <v>0.52</v>
      </c>
    </row>
    <row r="115" spans="1:6" x14ac:dyDescent="0.4">
      <c r="A115" s="1" t="s">
        <v>29</v>
      </c>
    </row>
    <row r="117" spans="1:6" s="5" customFormat="1" ht="32" x14ac:dyDescent="0.4">
      <c r="A117" s="5" t="s">
        <v>30</v>
      </c>
      <c r="B117" s="6" t="s">
        <v>31</v>
      </c>
      <c r="C117" s="5" t="s">
        <v>32</v>
      </c>
      <c r="D117" s="5" t="s">
        <v>33</v>
      </c>
      <c r="E117" s="5" t="s">
        <v>34</v>
      </c>
      <c r="F117" s="5" t="s">
        <v>35</v>
      </c>
    </row>
    <row r="118" spans="1:6" x14ac:dyDescent="0.4">
      <c r="A118" s="1">
        <v>8</v>
      </c>
      <c r="B118" s="10">
        <f t="shared" ref="B118:B123" si="24">A118*$B$114*0.01</f>
        <v>4.1600000000000005E-2</v>
      </c>
      <c r="C118" s="1">
        <v>2</v>
      </c>
      <c r="D118" s="13">
        <f t="shared" ref="D118:D123" si="25">$H$110*C118*1000</f>
        <v>82.213496347161964</v>
      </c>
      <c r="E118" s="13">
        <f t="shared" ref="E118:E123" si="26">B118*C118*1000-D118</f>
        <v>0.98650365283805286</v>
      </c>
      <c r="F118" s="12"/>
    </row>
    <row r="119" spans="1:6" x14ac:dyDescent="0.4">
      <c r="A119" s="1">
        <v>9</v>
      </c>
      <c r="B119" s="10">
        <f t="shared" si="24"/>
        <v>4.6800000000000001E-2</v>
      </c>
      <c r="C119" s="1">
        <v>2</v>
      </c>
      <c r="D119" s="13">
        <f t="shared" si="25"/>
        <v>82.213496347161964</v>
      </c>
      <c r="E119" s="13">
        <f t="shared" si="26"/>
        <v>11.386503652838044</v>
      </c>
      <c r="F119" s="12"/>
    </row>
    <row r="120" spans="1:6" x14ac:dyDescent="0.4">
      <c r="A120" s="1">
        <v>10</v>
      </c>
      <c r="B120" s="10">
        <f t="shared" si="24"/>
        <v>5.2000000000000005E-2</v>
      </c>
      <c r="C120" s="1">
        <v>2</v>
      </c>
      <c r="D120" s="13">
        <f t="shared" si="25"/>
        <v>82.213496347161964</v>
      </c>
      <c r="E120" s="13">
        <f t="shared" si="26"/>
        <v>21.78650365283805</v>
      </c>
      <c r="F120" s="12"/>
    </row>
    <row r="121" spans="1:6" x14ac:dyDescent="0.4">
      <c r="A121" s="1">
        <v>15</v>
      </c>
      <c r="B121" s="10">
        <f t="shared" si="24"/>
        <v>7.8000000000000014E-2</v>
      </c>
      <c r="C121" s="1">
        <v>2</v>
      </c>
      <c r="D121" s="13">
        <f t="shared" si="25"/>
        <v>82.213496347161964</v>
      </c>
      <c r="E121" s="13">
        <f t="shared" si="26"/>
        <v>73.786503652838064</v>
      </c>
      <c r="F121" s="12"/>
    </row>
    <row r="122" spans="1:6" x14ac:dyDescent="0.4">
      <c r="A122" s="1">
        <v>20</v>
      </c>
      <c r="B122" s="10">
        <f t="shared" si="24"/>
        <v>0.10400000000000001</v>
      </c>
      <c r="C122" s="1">
        <v>2</v>
      </c>
      <c r="D122" s="13">
        <f t="shared" si="25"/>
        <v>82.213496347161964</v>
      </c>
      <c r="E122" s="13">
        <f t="shared" si="26"/>
        <v>125.78650365283806</v>
      </c>
    </row>
    <row r="123" spans="1:6" x14ac:dyDescent="0.4">
      <c r="A123" s="1">
        <v>25</v>
      </c>
      <c r="B123" s="10">
        <f t="shared" si="24"/>
        <v>0.13</v>
      </c>
      <c r="C123" s="1">
        <v>2</v>
      </c>
      <c r="D123" s="13">
        <f t="shared" si="25"/>
        <v>82.213496347161964</v>
      </c>
      <c r="E123" s="13">
        <f t="shared" si="26"/>
        <v>177.78650365283804</v>
      </c>
    </row>
    <row r="124" spans="1:6" x14ac:dyDescent="0.4">
      <c r="D124" s="13"/>
      <c r="E124" s="13"/>
    </row>
    <row r="125" spans="1:6" x14ac:dyDescent="0.4">
      <c r="A125" s="40" t="s">
        <v>36</v>
      </c>
      <c r="D125" s="13"/>
      <c r="E125" s="13"/>
    </row>
    <row r="126" spans="1:6" x14ac:dyDescent="0.4">
      <c r="A126" s="11">
        <f>B126*100/$B$114</f>
        <v>15.116682341073266</v>
      </c>
      <c r="B126" s="10">
        <f>(E126+D126)/(C126*1000)</f>
        <v>7.8606748173580987E-2</v>
      </c>
      <c r="C126" s="1">
        <v>2</v>
      </c>
      <c r="D126" s="13">
        <f>$H$110*C126*1000</f>
        <v>82.213496347161964</v>
      </c>
      <c r="E126" s="1">
        <v>75</v>
      </c>
    </row>
    <row r="127" spans="1:6" x14ac:dyDescent="0.4">
      <c r="A127" s="11">
        <f t="shared" ref="A127:A129" si="27">B127*100/$B$114</f>
        <v>21.847451571842495</v>
      </c>
      <c r="B127" s="10">
        <f>(E127+D127)/(C127*1000)</f>
        <v>0.11360674817358098</v>
      </c>
      <c r="C127" s="1">
        <v>2</v>
      </c>
      <c r="D127" s="13">
        <f>$H$110*C127*1000</f>
        <v>82.213496347161964</v>
      </c>
      <c r="E127" s="1">
        <v>145</v>
      </c>
    </row>
    <row r="128" spans="1:6" x14ac:dyDescent="0.4">
      <c r="A128" s="11">
        <f t="shared" si="27"/>
        <v>10.789759264150188</v>
      </c>
      <c r="B128" s="10">
        <f t="shared" ref="B128:B129" si="28">(E128+D128)/(C128*1000)</f>
        <v>5.6106748173580981E-2</v>
      </c>
      <c r="C128" s="1">
        <v>2</v>
      </c>
      <c r="D128" s="13">
        <f>$H$110*C128*1000</f>
        <v>82.213496347161964</v>
      </c>
      <c r="E128" s="13">
        <v>30</v>
      </c>
    </row>
    <row r="129" spans="1:5" x14ac:dyDescent="0.4">
      <c r="A129" s="11">
        <f t="shared" si="27"/>
        <v>14.635913110304037</v>
      </c>
      <c r="B129" s="10">
        <f t="shared" si="28"/>
        <v>7.6106748173580985E-2</v>
      </c>
      <c r="C129" s="1">
        <v>2</v>
      </c>
      <c r="D129" s="13">
        <f>$H$110*C129*1000</f>
        <v>82.213496347161964</v>
      </c>
      <c r="E129" s="13">
        <v>70</v>
      </c>
    </row>
    <row r="132" spans="1:5" s="33" customFormat="1" x14ac:dyDescent="0.4">
      <c r="A132" s="33" t="s">
        <v>41</v>
      </c>
      <c r="B132" s="34"/>
    </row>
    <row r="133" spans="1:5" x14ac:dyDescent="0.4">
      <c r="A133" s="123" t="s">
        <v>41</v>
      </c>
      <c r="B133" s="123"/>
    </row>
    <row r="134" spans="1:5" x14ac:dyDescent="0.4">
      <c r="A134" s="66"/>
      <c r="B134" s="78" t="s">
        <v>1</v>
      </c>
      <c r="C134" s="79" t="s">
        <v>2</v>
      </c>
    </row>
    <row r="135" spans="1:5" x14ac:dyDescent="0.4">
      <c r="A135" s="70" t="s">
        <v>3</v>
      </c>
      <c r="B135" s="73">
        <v>1.196</v>
      </c>
      <c r="C135" s="1">
        <f>$G$153*B135</f>
        <v>1.1623208513201486</v>
      </c>
    </row>
    <row r="136" spans="1:5" x14ac:dyDescent="0.4">
      <c r="A136" s="70" t="s">
        <v>4</v>
      </c>
      <c r="B136" s="73">
        <v>2.2149999999999999</v>
      </c>
      <c r="C136" s="12">
        <f>B136</f>
        <v>2.2149999999999999</v>
      </c>
    </row>
    <row r="137" spans="1:5" x14ac:dyDescent="0.4">
      <c r="A137" s="71" t="s">
        <v>5</v>
      </c>
      <c r="B137" s="80">
        <f>(100-(B135/B136)*100)</f>
        <v>46.004514672686227</v>
      </c>
      <c r="C137" s="80">
        <f>(100-(C135/C136)*100)</f>
        <v>47.525017999090359</v>
      </c>
    </row>
    <row r="138" spans="1:5" x14ac:dyDescent="0.4">
      <c r="A138" s="71" t="s">
        <v>6</v>
      </c>
      <c r="B138" s="35">
        <f>$H$152</f>
        <v>2.8981095752560949E-2</v>
      </c>
    </row>
    <row r="139" spans="1:5" x14ac:dyDescent="0.4">
      <c r="A139" s="71" t="s">
        <v>7</v>
      </c>
      <c r="B139" s="35">
        <f>$I$152</f>
        <v>7.0879156506478624</v>
      </c>
    </row>
    <row r="140" spans="1:5" x14ac:dyDescent="0.4">
      <c r="A140" s="72" t="s">
        <v>8</v>
      </c>
      <c r="B140" s="24"/>
    </row>
    <row r="141" spans="1:5" x14ac:dyDescent="0.4">
      <c r="A141" s="70" t="s">
        <v>9</v>
      </c>
      <c r="B141" s="25" t="s">
        <v>42</v>
      </c>
    </row>
    <row r="142" spans="1:5" x14ac:dyDescent="0.4">
      <c r="A142" s="70" t="s">
        <v>11</v>
      </c>
      <c r="B142" s="25">
        <v>4.7</v>
      </c>
    </row>
    <row r="143" spans="1:5" x14ac:dyDescent="0.4">
      <c r="A143" s="70" t="s">
        <v>12</v>
      </c>
      <c r="B143" s="51">
        <f>$L$152</f>
        <v>6.5391691704642234</v>
      </c>
    </row>
    <row r="144" spans="1:5" x14ac:dyDescent="0.4">
      <c r="A144" s="70" t="s">
        <v>13</v>
      </c>
      <c r="B144" s="51">
        <f>0.58*B143</f>
        <v>3.7927181188692494</v>
      </c>
    </row>
    <row r="145" spans="1:12" x14ac:dyDescent="0.4">
      <c r="A145" s="77"/>
      <c r="B145" s="37"/>
    </row>
    <row r="146" spans="1:12" s="3" customFormat="1" x14ac:dyDescent="0.4">
      <c r="A146" s="3" t="s">
        <v>14</v>
      </c>
      <c r="B146" s="4"/>
    </row>
    <row r="147" spans="1:12" s="5" customFormat="1" ht="64" x14ac:dyDescent="0.4">
      <c r="A147" s="23" t="s">
        <v>15</v>
      </c>
      <c r="B147" s="23" t="s">
        <v>16</v>
      </c>
      <c r="C147" s="23" t="s">
        <v>17</v>
      </c>
      <c r="D147" s="23" t="s">
        <v>18</v>
      </c>
      <c r="E147" s="23" t="s">
        <v>19</v>
      </c>
      <c r="F147" s="23" t="s">
        <v>20</v>
      </c>
      <c r="G147" s="23" t="s">
        <v>21</v>
      </c>
      <c r="H147" s="23" t="s">
        <v>22</v>
      </c>
      <c r="I147" s="23" t="s">
        <v>23</v>
      </c>
      <c r="J147" s="23" t="s">
        <v>24</v>
      </c>
      <c r="K147" s="23" t="s">
        <v>25</v>
      </c>
      <c r="L147" s="23" t="s">
        <v>12</v>
      </c>
    </row>
    <row r="148" spans="1:12" x14ac:dyDescent="0.4">
      <c r="A148" s="22">
        <v>1</v>
      </c>
      <c r="B148" s="22">
        <v>9.923</v>
      </c>
      <c r="C148" s="22">
        <v>10.9139</v>
      </c>
      <c r="D148" s="22">
        <f>C148-B148</f>
        <v>0.99089999999999989</v>
      </c>
      <c r="E148" s="22">
        <v>10.885199999999999</v>
      </c>
      <c r="F148" s="22">
        <f>C148-E148</f>
        <v>2.8700000000000614E-2</v>
      </c>
      <c r="G148" s="22">
        <f>D148-F148</f>
        <v>0.96219999999999928</v>
      </c>
      <c r="H148" s="82">
        <f>F148/G148</f>
        <v>2.9827478694658734E-2</v>
      </c>
      <c r="I148" s="51">
        <f>100*H148*$C$135/(0.01*$C$137)</f>
        <v>7.2949157914622802</v>
      </c>
      <c r="J148" s="22">
        <v>10.821</v>
      </c>
      <c r="K148" s="22">
        <f>E148-J148</f>
        <v>6.4199999999999591E-2</v>
      </c>
      <c r="L148" s="51">
        <f>100*K148/G148</f>
        <v>6.6722095198503055</v>
      </c>
    </row>
    <row r="149" spans="1:12" x14ac:dyDescent="0.4">
      <c r="A149" s="22">
        <v>2</v>
      </c>
      <c r="B149" s="22">
        <v>10.1752</v>
      </c>
      <c r="C149" s="22">
        <v>11.1684</v>
      </c>
      <c r="D149" s="22">
        <f t="shared" ref="D149:D151" si="29">C149-B149</f>
        <v>0.99319999999999986</v>
      </c>
      <c r="E149" s="22">
        <v>11.1394</v>
      </c>
      <c r="F149" s="22">
        <f t="shared" ref="F149:F151" si="30">C149-E149</f>
        <v>2.8999999999999915E-2</v>
      </c>
      <c r="G149" s="22">
        <f t="shared" ref="G149:G151" si="31">D149-F149</f>
        <v>0.96419999999999995</v>
      </c>
      <c r="H149" s="82">
        <f t="shared" ref="H149:H151" si="32">F149/G149</f>
        <v>3.0076747562746232E-2</v>
      </c>
      <c r="I149" s="51">
        <f t="shared" ref="I149:I151" si="33">100*H149*$C$135/(0.01*$C$137)</f>
        <v>7.3558795564772907</v>
      </c>
      <c r="J149" s="22">
        <v>11.0769</v>
      </c>
      <c r="K149" s="22">
        <f>E149-J149</f>
        <v>6.25E-2</v>
      </c>
      <c r="L149" s="51">
        <f t="shared" ref="L149:L151" si="34">100*K149/G149</f>
        <v>6.4820576643849828</v>
      </c>
    </row>
    <row r="150" spans="1:12" x14ac:dyDescent="0.4">
      <c r="A150" s="22">
        <v>3</v>
      </c>
      <c r="B150" s="22">
        <v>10.123799999999999</v>
      </c>
      <c r="C150" s="22">
        <v>11.123900000000001</v>
      </c>
      <c r="D150" s="82">
        <f t="shared" si="29"/>
        <v>1.0001000000000015</v>
      </c>
      <c r="E150" s="22">
        <v>11.095700000000001</v>
      </c>
      <c r="F150" s="22">
        <f t="shared" si="30"/>
        <v>2.8200000000000003E-2</v>
      </c>
      <c r="G150" s="22">
        <f t="shared" si="31"/>
        <v>0.97190000000000154</v>
      </c>
      <c r="H150" s="82">
        <f t="shared" si="32"/>
        <v>2.9015330795349271E-2</v>
      </c>
      <c r="I150" s="51">
        <f t="shared" si="33"/>
        <v>7.0962885257679655</v>
      </c>
      <c r="J150" s="22">
        <v>11.032299999999999</v>
      </c>
      <c r="K150" s="22">
        <f>E150-J150</f>
        <v>6.3400000000001455E-2</v>
      </c>
      <c r="L150" s="51">
        <f t="shared" si="34"/>
        <v>6.5233048667559785</v>
      </c>
    </row>
    <row r="151" spans="1:12" x14ac:dyDescent="0.4">
      <c r="A151" s="22">
        <v>4</v>
      </c>
      <c r="B151" s="52">
        <v>10.6744</v>
      </c>
      <c r="C151" s="22">
        <v>11.6746</v>
      </c>
      <c r="D151" s="22">
        <f t="shared" si="29"/>
        <v>1.0001999999999995</v>
      </c>
      <c r="E151" s="22">
        <v>11.648300000000001</v>
      </c>
      <c r="F151" s="22">
        <f t="shared" si="30"/>
        <v>2.6299999999999102E-2</v>
      </c>
      <c r="G151" s="22">
        <f t="shared" si="31"/>
        <v>0.97390000000000043</v>
      </c>
      <c r="H151" s="82">
        <f t="shared" si="32"/>
        <v>2.7004825957489566E-2</v>
      </c>
      <c r="I151" s="51">
        <f t="shared" si="33"/>
        <v>6.6045787288839115</v>
      </c>
      <c r="J151" s="22">
        <v>11.5852</v>
      </c>
      <c r="K151" s="22">
        <f>E151-J151</f>
        <v>6.3100000000000378E-2</v>
      </c>
      <c r="L151" s="51">
        <f t="shared" si="34"/>
        <v>6.4791046308656277</v>
      </c>
    </row>
    <row r="152" spans="1:12" x14ac:dyDescent="0.4">
      <c r="A152" s="52" t="s">
        <v>38</v>
      </c>
      <c r="B152" s="22"/>
      <c r="C152" s="22"/>
      <c r="D152" s="85">
        <f>AVERAGE(D148:D151)</f>
        <v>0.99610000000000021</v>
      </c>
      <c r="E152" s="22"/>
      <c r="F152" s="22"/>
      <c r="G152" s="85">
        <f>AVERAGE(G148:G151)</f>
        <v>0.9680500000000003</v>
      </c>
      <c r="H152" s="85">
        <f>AVERAGE(H148:H151)</f>
        <v>2.8981095752560949E-2</v>
      </c>
      <c r="I152" s="86">
        <f>AVERAGE(I148:I151)</f>
        <v>7.0879156506478624</v>
      </c>
      <c r="J152" s="22"/>
      <c r="K152" s="22"/>
      <c r="L152" s="86">
        <f>AVERAGE(L148:L151)</f>
        <v>6.5391691704642234</v>
      </c>
    </row>
    <row r="153" spans="1:12" x14ac:dyDescent="0.4">
      <c r="A153" s="52"/>
      <c r="B153" s="22"/>
      <c r="C153" s="22"/>
      <c r="D153" s="85"/>
      <c r="E153" s="22"/>
      <c r="F153" s="22" t="s">
        <v>27</v>
      </c>
      <c r="G153" s="85">
        <f>G152/D152</f>
        <v>0.97184017668908751</v>
      </c>
      <c r="H153" s="85"/>
      <c r="I153" s="86"/>
      <c r="J153" s="22"/>
      <c r="K153" s="22"/>
      <c r="L153" s="86"/>
    </row>
    <row r="155" spans="1:12" s="3" customFormat="1" x14ac:dyDescent="0.4">
      <c r="A155" s="3" t="s">
        <v>28</v>
      </c>
      <c r="B155" s="4"/>
    </row>
    <row r="156" spans="1:12" x14ac:dyDescent="0.4">
      <c r="A156" s="1" t="s">
        <v>5</v>
      </c>
      <c r="B156" s="9">
        <v>0.46</v>
      </c>
    </row>
    <row r="157" spans="1:12" x14ac:dyDescent="0.4">
      <c r="A157" s="1" t="s">
        <v>29</v>
      </c>
    </row>
    <row r="159" spans="1:12" s="5" customFormat="1" ht="32" x14ac:dyDescent="0.4">
      <c r="A159" s="5" t="s">
        <v>30</v>
      </c>
      <c r="B159" s="6" t="s">
        <v>31</v>
      </c>
      <c r="C159" s="5" t="s">
        <v>32</v>
      </c>
      <c r="D159" s="5" t="s">
        <v>33</v>
      </c>
      <c r="E159" s="5" t="s">
        <v>34</v>
      </c>
      <c r="F159" s="5" t="s">
        <v>35</v>
      </c>
    </row>
    <row r="160" spans="1:12" x14ac:dyDescent="0.4">
      <c r="A160" s="1">
        <v>7</v>
      </c>
      <c r="B160" s="10">
        <f t="shared" ref="B160:B166" si="35">A160*$B$156*0.01</f>
        <v>3.2199999999999999E-2</v>
      </c>
      <c r="C160" s="1">
        <v>2</v>
      </c>
      <c r="D160" s="13">
        <f t="shared" ref="D160:D166" si="36">$H$152*C160*1000</f>
        <v>57.962191505121901</v>
      </c>
      <c r="E160" s="13">
        <f t="shared" ref="E160:E166" si="37">B160*C160*1000-D160</f>
        <v>6.4378084948781051</v>
      </c>
      <c r="F160" s="12"/>
    </row>
    <row r="161" spans="1:12" x14ac:dyDescent="0.4">
      <c r="A161" s="1">
        <v>8</v>
      </c>
      <c r="B161" s="10">
        <f t="shared" si="35"/>
        <v>3.6799999999999999E-2</v>
      </c>
      <c r="C161" s="1">
        <v>2</v>
      </c>
      <c r="D161" s="13">
        <f t="shared" si="36"/>
        <v>57.962191505121901</v>
      </c>
      <c r="E161" s="13">
        <f t="shared" si="37"/>
        <v>15.637808494878094</v>
      </c>
      <c r="F161" s="12"/>
    </row>
    <row r="162" spans="1:12" x14ac:dyDescent="0.4">
      <c r="A162" s="1">
        <v>9</v>
      </c>
      <c r="B162" s="10">
        <f t="shared" si="35"/>
        <v>4.1400000000000006E-2</v>
      </c>
      <c r="C162" s="1">
        <v>2</v>
      </c>
      <c r="D162" s="13">
        <f t="shared" si="36"/>
        <v>57.962191505121901</v>
      </c>
      <c r="E162" s="13">
        <f t="shared" si="37"/>
        <v>24.837808494878111</v>
      </c>
      <c r="F162" s="12"/>
    </row>
    <row r="163" spans="1:12" x14ac:dyDescent="0.4">
      <c r="A163" s="1">
        <v>10</v>
      </c>
      <c r="B163" s="10">
        <f t="shared" si="35"/>
        <v>4.6000000000000006E-2</v>
      </c>
      <c r="C163" s="1">
        <v>2</v>
      </c>
      <c r="D163" s="13">
        <f t="shared" si="36"/>
        <v>57.962191505121901</v>
      </c>
      <c r="E163" s="13">
        <f t="shared" si="37"/>
        <v>34.037808494878114</v>
      </c>
      <c r="F163" s="12"/>
    </row>
    <row r="164" spans="1:12" x14ac:dyDescent="0.4">
      <c r="A164" s="1">
        <v>15</v>
      </c>
      <c r="B164" s="10">
        <f t="shared" si="35"/>
        <v>6.9000000000000006E-2</v>
      </c>
      <c r="C164" s="1">
        <v>2</v>
      </c>
      <c r="D164" s="13">
        <f t="shared" si="36"/>
        <v>57.962191505121901</v>
      </c>
      <c r="E164" s="13">
        <f t="shared" si="37"/>
        <v>80.037808494878107</v>
      </c>
      <c r="F164" s="12"/>
    </row>
    <row r="165" spans="1:12" x14ac:dyDescent="0.4">
      <c r="A165" s="1">
        <v>20</v>
      </c>
      <c r="B165" s="10">
        <f t="shared" si="35"/>
        <v>9.2000000000000012E-2</v>
      </c>
      <c r="C165" s="1">
        <v>2</v>
      </c>
      <c r="D165" s="13">
        <f t="shared" si="36"/>
        <v>57.962191505121901</v>
      </c>
      <c r="E165" s="13">
        <f t="shared" si="37"/>
        <v>126.03780849487813</v>
      </c>
    </row>
    <row r="166" spans="1:12" x14ac:dyDescent="0.4">
      <c r="A166" s="1">
        <v>25</v>
      </c>
      <c r="B166" s="10">
        <f t="shared" si="35"/>
        <v>0.115</v>
      </c>
      <c r="C166" s="1">
        <v>2</v>
      </c>
      <c r="D166" s="13">
        <f t="shared" si="36"/>
        <v>57.962191505121901</v>
      </c>
      <c r="E166" s="13">
        <f t="shared" si="37"/>
        <v>172.03780849487811</v>
      </c>
    </row>
    <row r="167" spans="1:12" x14ac:dyDescent="0.4">
      <c r="D167" s="13"/>
      <c r="E167" s="13"/>
    </row>
    <row r="168" spans="1:12" x14ac:dyDescent="0.4">
      <c r="A168" s="40" t="s">
        <v>36</v>
      </c>
      <c r="D168" s="13"/>
      <c r="E168" s="13"/>
    </row>
    <row r="169" spans="1:12" x14ac:dyDescent="0.4">
      <c r="A169" s="11">
        <f>B169*100/$B$156</f>
        <v>17.088423515995867</v>
      </c>
      <c r="B169" s="10">
        <f>(E169+D169)/(C169*1000)</f>
        <v>7.8606748173580987E-2</v>
      </c>
      <c r="C169" s="1">
        <v>2</v>
      </c>
      <c r="D169" s="13">
        <f>$H$110*C169*1000</f>
        <v>82.213496347161964</v>
      </c>
      <c r="E169" s="1">
        <v>75</v>
      </c>
    </row>
    <row r="170" spans="1:12" x14ac:dyDescent="0.4">
      <c r="A170" s="11">
        <f t="shared" ref="A170:A172" si="38">B170*100/$B$156</f>
        <v>24.697119168169774</v>
      </c>
      <c r="B170" s="10">
        <f>(E170+D170)/(C170*1000)</f>
        <v>0.11360674817358098</v>
      </c>
      <c r="C170" s="1">
        <v>2</v>
      </c>
      <c r="D170" s="13">
        <f>$H$110*C170*1000</f>
        <v>82.213496347161964</v>
      </c>
      <c r="E170" s="1">
        <v>145</v>
      </c>
    </row>
    <row r="171" spans="1:12" x14ac:dyDescent="0.4">
      <c r="A171" s="11">
        <f t="shared" si="38"/>
        <v>12.197119168169777</v>
      </c>
      <c r="B171" s="10">
        <f t="shared" ref="B171:B172" si="39">(E171+D171)/(C171*1000)</f>
        <v>5.6106748173580981E-2</v>
      </c>
      <c r="C171" s="1">
        <v>2</v>
      </c>
      <c r="D171" s="13">
        <f>$H$110*C171*1000</f>
        <v>82.213496347161964</v>
      </c>
      <c r="E171" s="13">
        <v>30</v>
      </c>
    </row>
    <row r="172" spans="1:12" x14ac:dyDescent="0.4">
      <c r="A172" s="11">
        <f t="shared" si="38"/>
        <v>16.544945255126301</v>
      </c>
      <c r="B172" s="10">
        <f t="shared" si="39"/>
        <v>7.6106748173580985E-2</v>
      </c>
      <c r="C172" s="1">
        <v>2</v>
      </c>
      <c r="D172" s="13">
        <f>$H$110*C172*1000</f>
        <v>82.213496347161964</v>
      </c>
      <c r="E172" s="13">
        <v>70</v>
      </c>
    </row>
    <row r="173" spans="1:12" x14ac:dyDescent="0.4">
      <c r="A173" s="11"/>
      <c r="B173" s="10"/>
      <c r="D173" s="13"/>
      <c r="E173" s="13"/>
    </row>
    <row r="174" spans="1:12" x14ac:dyDescent="0.4">
      <c r="A174" s="11"/>
      <c r="B174" s="10"/>
      <c r="D174" s="13"/>
      <c r="E174" s="13"/>
    </row>
    <row r="175" spans="1:12" x14ac:dyDescent="0.4">
      <c r="A175" s="41" t="s">
        <v>43</v>
      </c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</row>
    <row r="176" spans="1:12" x14ac:dyDescent="0.4">
      <c r="A176" s="123" t="s">
        <v>43</v>
      </c>
      <c r="B176" s="123"/>
    </row>
    <row r="177" spans="1:12" x14ac:dyDescent="0.4">
      <c r="A177" s="66"/>
      <c r="B177" s="89" t="s">
        <v>1</v>
      </c>
      <c r="C177" s="79" t="s">
        <v>2</v>
      </c>
    </row>
    <row r="178" spans="1:12" x14ac:dyDescent="0.4">
      <c r="A178" s="70" t="s">
        <v>3</v>
      </c>
      <c r="B178" s="74">
        <v>0.79900000000000004</v>
      </c>
      <c r="C178" s="1">
        <f>G196*B178</f>
        <v>0.76650690696893797</v>
      </c>
    </row>
    <row r="179" spans="1:12" x14ac:dyDescent="0.4">
      <c r="A179" s="70" t="s">
        <v>4</v>
      </c>
      <c r="B179" s="74">
        <v>1.9975000000000001</v>
      </c>
      <c r="C179" s="12">
        <f>B179</f>
        <v>1.9975000000000001</v>
      </c>
    </row>
    <row r="180" spans="1:12" x14ac:dyDescent="0.4">
      <c r="A180" s="71" t="s">
        <v>5</v>
      </c>
      <c r="B180" s="80">
        <f>(100-(B178/B179)*100)</f>
        <v>60</v>
      </c>
      <c r="C180" s="80">
        <f>(100-(C178/C179)*100)</f>
        <v>61.626688011567559</v>
      </c>
    </row>
    <row r="181" spans="1:12" x14ac:dyDescent="0.4">
      <c r="A181" s="71" t="s">
        <v>6</v>
      </c>
      <c r="B181" s="35">
        <f>$H$195</f>
        <v>4.1106748173580981E-2</v>
      </c>
    </row>
    <row r="182" spans="1:12" x14ac:dyDescent="0.4">
      <c r="A182" s="71" t="s">
        <v>7</v>
      </c>
      <c r="B182" s="35">
        <f>$I$195</f>
        <v>5.1128183932533107</v>
      </c>
    </row>
    <row r="183" spans="1:12" x14ac:dyDescent="0.4">
      <c r="A183" s="72" t="s">
        <v>8</v>
      </c>
      <c r="B183" s="24"/>
    </row>
    <row r="184" spans="1:12" x14ac:dyDescent="0.4">
      <c r="A184" s="70" t="s">
        <v>9</v>
      </c>
      <c r="B184" s="52" t="s">
        <v>44</v>
      </c>
    </row>
    <row r="185" spans="1:12" x14ac:dyDescent="0.4">
      <c r="A185" s="70" t="s">
        <v>11</v>
      </c>
      <c r="B185" s="25">
        <v>5</v>
      </c>
    </row>
    <row r="186" spans="1:12" x14ac:dyDescent="0.4">
      <c r="A186" s="70" t="s">
        <v>12</v>
      </c>
      <c r="B186" s="90">
        <f>$L$195</f>
        <v>12.554270945039352</v>
      </c>
    </row>
    <row r="187" spans="1:12" x14ac:dyDescent="0.4">
      <c r="A187" s="70" t="s">
        <v>13</v>
      </c>
      <c r="B187" s="51">
        <f>0.58*B186</f>
        <v>7.281477148122824</v>
      </c>
    </row>
    <row r="188" spans="1:12" x14ac:dyDescent="0.4">
      <c r="A188" s="77"/>
      <c r="B188" s="37"/>
    </row>
    <row r="189" spans="1:12" x14ac:dyDescent="0.4">
      <c r="A189" s="43" t="s">
        <v>14</v>
      </c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</row>
    <row r="190" spans="1:12" s="5" customFormat="1" ht="64" x14ac:dyDescent="0.4">
      <c r="A190" s="23" t="s">
        <v>15</v>
      </c>
      <c r="B190" s="23" t="s">
        <v>16</v>
      </c>
      <c r="C190" s="23" t="s">
        <v>17</v>
      </c>
      <c r="D190" s="23" t="s">
        <v>18</v>
      </c>
      <c r="E190" s="23" t="s">
        <v>19</v>
      </c>
      <c r="F190" s="23" t="s">
        <v>20</v>
      </c>
      <c r="G190" s="23" t="s">
        <v>21</v>
      </c>
      <c r="H190" s="23" t="s">
        <v>22</v>
      </c>
      <c r="I190" s="23" t="s">
        <v>23</v>
      </c>
      <c r="J190" s="23" t="s">
        <v>24</v>
      </c>
      <c r="K190" s="23" t="s">
        <v>25</v>
      </c>
      <c r="L190" s="23" t="s">
        <v>12</v>
      </c>
    </row>
    <row r="191" spans="1:12" x14ac:dyDescent="0.4">
      <c r="A191" s="87">
        <v>1</v>
      </c>
      <c r="B191" s="22">
        <v>10.356999999999999</v>
      </c>
      <c r="C191" s="22">
        <v>11.3507</v>
      </c>
      <c r="D191" s="87">
        <f>C191-B191</f>
        <v>0.99370000000000047</v>
      </c>
      <c r="E191" s="22">
        <v>11.308999999999999</v>
      </c>
      <c r="F191" s="87">
        <f>C191-E191</f>
        <v>4.1700000000000514E-2</v>
      </c>
      <c r="G191" s="22">
        <f>D191-F191</f>
        <v>0.95199999999999996</v>
      </c>
      <c r="H191" s="82">
        <f>F191/G191</f>
        <v>4.3802521008403907E-2</v>
      </c>
      <c r="I191" s="51">
        <f>100*H191*$C$178/(0.01*$C$180)</f>
        <v>5.4481160644705522</v>
      </c>
      <c r="J191" s="22">
        <v>11.186999999999999</v>
      </c>
      <c r="K191" s="22">
        <f>E191-J191</f>
        <v>0.12199999999999989</v>
      </c>
      <c r="L191" s="51">
        <f>100*K191/G191</f>
        <v>12.815126050420156</v>
      </c>
    </row>
    <row r="192" spans="1:12" x14ac:dyDescent="0.4">
      <c r="A192" s="87">
        <v>2</v>
      </c>
      <c r="B192" s="22">
        <v>10.7347</v>
      </c>
      <c r="C192" s="22">
        <v>11.7194</v>
      </c>
      <c r="D192" s="87">
        <f t="shared" ref="D192:D194" si="40">C192-B192</f>
        <v>0.98470000000000013</v>
      </c>
      <c r="E192" s="22">
        <v>11.6777</v>
      </c>
      <c r="F192" s="87">
        <f t="shared" ref="F192:F194" si="41">C192-E192</f>
        <v>4.1700000000000514E-2</v>
      </c>
      <c r="G192" s="22">
        <f t="shared" ref="G192:G194" si="42">D192-F192</f>
        <v>0.94299999999999962</v>
      </c>
      <c r="H192" s="82">
        <f>F192/D192</f>
        <v>4.234792322534834E-2</v>
      </c>
      <c r="I192" s="51">
        <f>100*H192*$C$178/(0.01*$C$180)</f>
        <v>5.2671945703015783</v>
      </c>
      <c r="J192" s="22">
        <v>11.558299999999999</v>
      </c>
      <c r="K192" s="22">
        <f>E192-J192</f>
        <v>0.11940000000000062</v>
      </c>
      <c r="L192" s="51">
        <f t="shared" ref="L192:L194" si="43">100*K192/G192</f>
        <v>12.661717921527112</v>
      </c>
    </row>
    <row r="193" spans="1:12" x14ac:dyDescent="0.4">
      <c r="A193" s="87">
        <v>3</v>
      </c>
      <c r="B193" s="22">
        <v>9.8468</v>
      </c>
      <c r="C193" s="22">
        <v>10.78</v>
      </c>
      <c r="D193" s="87">
        <f t="shared" si="40"/>
        <v>0.93319999999999936</v>
      </c>
      <c r="E193" s="22">
        <v>10.741899999999999</v>
      </c>
      <c r="F193" s="87">
        <f t="shared" si="41"/>
        <v>3.8100000000000023E-2</v>
      </c>
      <c r="G193" s="22">
        <f t="shared" si="42"/>
        <v>0.89509999999999934</v>
      </c>
      <c r="H193" s="82">
        <f>F193/D193</f>
        <v>4.082726103729109E-2</v>
      </c>
      <c r="I193" s="51">
        <f>100*H193*$C$178/(0.01*$C$180)</f>
        <v>5.0780560480279835</v>
      </c>
      <c r="J193" s="22">
        <v>10.631600000000001</v>
      </c>
      <c r="K193" s="22">
        <f>E193-J193</f>
        <v>0.11029999999999873</v>
      </c>
      <c r="L193" s="51">
        <f t="shared" si="43"/>
        <v>12.322645514467524</v>
      </c>
    </row>
    <row r="194" spans="1:12" x14ac:dyDescent="0.4">
      <c r="A194" s="87">
        <v>4</v>
      </c>
      <c r="B194" s="52">
        <v>10.031700000000001</v>
      </c>
      <c r="C194" s="22">
        <v>10.993</v>
      </c>
      <c r="D194" s="87">
        <f t="shared" si="40"/>
        <v>0.9612999999999996</v>
      </c>
      <c r="E194" s="22">
        <v>10.957000000000001</v>
      </c>
      <c r="F194" s="87">
        <f t="shared" si="41"/>
        <v>3.5999999999999588E-2</v>
      </c>
      <c r="G194" s="22">
        <f t="shared" si="42"/>
        <v>0.92530000000000001</v>
      </c>
      <c r="H194" s="82">
        <f>F194/D194</f>
        <v>3.7449287423280561E-2</v>
      </c>
      <c r="I194" s="51">
        <f>100*H194*$C$178/(0.01*$C$180)</f>
        <v>4.6579068902131278</v>
      </c>
      <c r="J194" s="22">
        <v>10.8421</v>
      </c>
      <c r="K194" s="22">
        <f>E194-J194</f>
        <v>0.11490000000000045</v>
      </c>
      <c r="L194" s="51">
        <f t="shared" si="43"/>
        <v>12.417594293742619</v>
      </c>
    </row>
    <row r="195" spans="1:12" x14ac:dyDescent="0.4">
      <c r="A195" s="88" t="s">
        <v>38</v>
      </c>
      <c r="B195" s="87"/>
      <c r="C195" s="87"/>
      <c r="D195" s="85">
        <f>AVERAGE(D191:D194)</f>
        <v>0.96822499999999989</v>
      </c>
      <c r="E195" s="85"/>
      <c r="F195" s="87"/>
      <c r="G195" s="85">
        <f>AVERAGE(G191:G194)</f>
        <v>0.92884999999999973</v>
      </c>
      <c r="H195" s="85">
        <f>AVERAGE(H191:H194)</f>
        <v>4.1106748173580981E-2</v>
      </c>
      <c r="I195" s="86">
        <f>AVERAGE(I191:I194)</f>
        <v>5.1128183932533107</v>
      </c>
      <c r="J195" s="87"/>
      <c r="K195" s="22"/>
      <c r="L195" s="86">
        <f>AVERAGE(L191:L194)</f>
        <v>12.554270945039352</v>
      </c>
    </row>
    <row r="196" spans="1:12" x14ac:dyDescent="0.4">
      <c r="A196" s="88"/>
      <c r="B196" s="87"/>
      <c r="C196" s="87"/>
      <c r="D196" s="87"/>
      <c r="E196" s="87"/>
      <c r="F196" s="22" t="s">
        <v>27</v>
      </c>
      <c r="G196" s="82">
        <f>G195/D195</f>
        <v>0.95933279971081087</v>
      </c>
      <c r="H196" s="85"/>
      <c r="I196" s="86"/>
      <c r="J196" s="87"/>
      <c r="K196" s="22"/>
      <c r="L196" s="86"/>
    </row>
    <row r="197" spans="1:12" x14ac:dyDescent="0.4">
      <c r="A197" s="40"/>
      <c r="B197" s="45"/>
      <c r="C197" s="40"/>
      <c r="D197" s="40"/>
      <c r="E197" s="40"/>
      <c r="F197" s="40"/>
      <c r="G197" s="40"/>
      <c r="H197" s="40"/>
      <c r="I197" s="40"/>
      <c r="J197" s="40"/>
      <c r="K197" s="40"/>
      <c r="L197" s="40"/>
    </row>
    <row r="198" spans="1:12" x14ac:dyDescent="0.4">
      <c r="A198" s="43" t="s">
        <v>28</v>
      </c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</row>
    <row r="199" spans="1:12" x14ac:dyDescent="0.4">
      <c r="A199" s="40" t="s">
        <v>5</v>
      </c>
      <c r="B199" s="46">
        <v>0.6</v>
      </c>
      <c r="C199" s="40"/>
      <c r="D199" s="40"/>
      <c r="E199" s="40"/>
      <c r="F199" s="40"/>
      <c r="G199" s="40"/>
      <c r="H199" s="40"/>
      <c r="I199" s="40"/>
      <c r="J199" s="40"/>
      <c r="K199" s="40"/>
      <c r="L199" s="40"/>
    </row>
    <row r="200" spans="1:12" x14ac:dyDescent="0.4">
      <c r="A200" s="40" t="s">
        <v>29</v>
      </c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</row>
    <row r="201" spans="1:12" x14ac:dyDescent="0.4">
      <c r="A201" s="40"/>
      <c r="B201" s="45"/>
      <c r="C201" s="40"/>
      <c r="D201" s="40"/>
      <c r="E201" s="40"/>
      <c r="F201" s="40"/>
      <c r="G201" s="40"/>
      <c r="H201" s="40"/>
      <c r="I201" s="40"/>
      <c r="J201" s="40"/>
      <c r="K201" s="40"/>
      <c r="L201" s="40"/>
    </row>
    <row r="202" spans="1:12" ht="32" x14ac:dyDescent="0.4">
      <c r="A202" s="44" t="s">
        <v>30</v>
      </c>
      <c r="B202" s="47" t="s">
        <v>31</v>
      </c>
      <c r="C202" s="44" t="s">
        <v>32</v>
      </c>
      <c r="D202" s="44" t="s">
        <v>33</v>
      </c>
      <c r="E202" s="44" t="s">
        <v>34</v>
      </c>
      <c r="F202" s="44" t="s">
        <v>35</v>
      </c>
      <c r="G202" s="44"/>
      <c r="H202" s="44"/>
      <c r="I202" s="44"/>
      <c r="J202" s="44"/>
      <c r="K202" s="44"/>
      <c r="L202" s="44"/>
    </row>
    <row r="203" spans="1:12" x14ac:dyDescent="0.4">
      <c r="A203" s="1">
        <v>7</v>
      </c>
      <c r="B203" s="10">
        <f>A203*$B$199*0.01</f>
        <v>4.2000000000000003E-2</v>
      </c>
      <c r="C203" s="1">
        <v>2</v>
      </c>
      <c r="D203" s="13">
        <f t="shared" ref="D203:D209" si="44">$H$195*C203*1000</f>
        <v>82.213496347161964</v>
      </c>
      <c r="E203" s="13">
        <f t="shared" ref="E203:E209" si="45">B203*C203*1000-D203</f>
        <v>1.7865036528380358</v>
      </c>
      <c r="F203" s="44"/>
      <c r="G203" s="44"/>
      <c r="H203" s="44"/>
      <c r="I203" s="44"/>
      <c r="J203" s="44"/>
      <c r="K203" s="44"/>
      <c r="L203" s="44"/>
    </row>
    <row r="204" spans="1:12" x14ac:dyDescent="0.4">
      <c r="A204" s="1">
        <v>8</v>
      </c>
      <c r="B204" s="10">
        <f t="shared" ref="B204:B209" si="46">A204*$B$199*0.01</f>
        <v>4.8000000000000001E-2</v>
      </c>
      <c r="C204" s="1">
        <v>2</v>
      </c>
      <c r="D204" s="13">
        <f t="shared" si="44"/>
        <v>82.213496347161964</v>
      </c>
      <c r="E204" s="13">
        <f t="shared" si="45"/>
        <v>13.786503652838036</v>
      </c>
      <c r="F204" s="49"/>
      <c r="G204" s="40"/>
      <c r="H204" s="40"/>
      <c r="I204" s="40"/>
      <c r="J204" s="40"/>
      <c r="K204" s="40"/>
      <c r="L204" s="40"/>
    </row>
    <row r="205" spans="1:12" x14ac:dyDescent="0.4">
      <c r="A205" s="1">
        <v>9</v>
      </c>
      <c r="B205" s="10">
        <f t="shared" si="46"/>
        <v>5.3999999999999992E-2</v>
      </c>
      <c r="C205" s="1">
        <v>2</v>
      </c>
      <c r="D205" s="13">
        <f t="shared" si="44"/>
        <v>82.213496347161964</v>
      </c>
      <c r="E205" s="13">
        <f t="shared" si="45"/>
        <v>25.786503652838022</v>
      </c>
      <c r="F205" s="49"/>
      <c r="G205" s="40"/>
      <c r="H205" s="40"/>
      <c r="I205" s="40"/>
      <c r="J205" s="40"/>
      <c r="K205" s="40"/>
      <c r="L205" s="40"/>
    </row>
    <row r="206" spans="1:12" x14ac:dyDescent="0.4">
      <c r="A206" s="1">
        <v>10</v>
      </c>
      <c r="B206" s="10">
        <f t="shared" si="46"/>
        <v>0.06</v>
      </c>
      <c r="C206" s="1">
        <v>2</v>
      </c>
      <c r="D206" s="13">
        <f t="shared" si="44"/>
        <v>82.213496347161964</v>
      </c>
      <c r="E206" s="13">
        <f t="shared" si="45"/>
        <v>37.786503652838036</v>
      </c>
      <c r="F206" s="49"/>
      <c r="G206" s="40"/>
      <c r="H206" s="40"/>
      <c r="I206" s="40"/>
      <c r="J206" s="40"/>
      <c r="K206" s="40"/>
      <c r="L206" s="40"/>
    </row>
    <row r="207" spans="1:12" x14ac:dyDescent="0.4">
      <c r="A207" s="1">
        <v>15</v>
      </c>
      <c r="B207" s="10">
        <f t="shared" si="46"/>
        <v>0.09</v>
      </c>
      <c r="C207" s="1">
        <v>2</v>
      </c>
      <c r="D207" s="13">
        <f t="shared" si="44"/>
        <v>82.213496347161964</v>
      </c>
      <c r="E207" s="13">
        <f t="shared" si="45"/>
        <v>97.786503652838036</v>
      </c>
      <c r="F207" s="49"/>
      <c r="G207" s="40"/>
      <c r="H207" s="40"/>
      <c r="I207" s="40"/>
      <c r="J207" s="40"/>
      <c r="K207" s="40"/>
      <c r="L207" s="40"/>
    </row>
    <row r="208" spans="1:12" x14ac:dyDescent="0.4">
      <c r="A208" s="1">
        <v>20</v>
      </c>
      <c r="B208" s="10">
        <f t="shared" si="46"/>
        <v>0.12</v>
      </c>
      <c r="C208" s="1">
        <v>2</v>
      </c>
      <c r="D208" s="13">
        <f t="shared" si="44"/>
        <v>82.213496347161964</v>
      </c>
      <c r="E208" s="13">
        <f t="shared" si="45"/>
        <v>157.78650365283804</v>
      </c>
      <c r="F208" s="49"/>
      <c r="G208" s="40"/>
      <c r="H208" s="40"/>
      <c r="I208" s="40"/>
      <c r="J208" s="40"/>
      <c r="K208" s="40"/>
      <c r="L208" s="40"/>
    </row>
    <row r="209" spans="1:12" x14ac:dyDescent="0.4">
      <c r="A209" s="1">
        <v>25</v>
      </c>
      <c r="B209" s="10">
        <f t="shared" si="46"/>
        <v>0.15</v>
      </c>
      <c r="C209" s="1">
        <v>2</v>
      </c>
      <c r="D209" s="13">
        <f t="shared" si="44"/>
        <v>82.213496347161964</v>
      </c>
      <c r="E209" s="13">
        <f t="shared" si="45"/>
        <v>217.78650365283804</v>
      </c>
      <c r="F209" s="40"/>
      <c r="G209" s="40"/>
      <c r="H209" s="40"/>
      <c r="I209" s="40"/>
      <c r="J209" s="40"/>
      <c r="K209" s="40"/>
      <c r="L209" s="40"/>
    </row>
    <row r="210" spans="1:12" x14ac:dyDescent="0.4">
      <c r="A210" s="40"/>
      <c r="B210" s="45"/>
      <c r="C210" s="40"/>
      <c r="D210" s="48"/>
      <c r="E210" s="48"/>
      <c r="F210" s="40"/>
      <c r="G210" s="40"/>
      <c r="H210" s="40"/>
      <c r="I210" s="40"/>
      <c r="J210" s="40"/>
      <c r="K210" s="40"/>
      <c r="L210" s="40"/>
    </row>
    <row r="211" spans="1:12" x14ac:dyDescent="0.4">
      <c r="A211" s="40" t="s">
        <v>36</v>
      </c>
      <c r="B211" s="40"/>
      <c r="C211" s="40"/>
      <c r="D211" s="48"/>
      <c r="E211" s="48"/>
      <c r="F211" s="40"/>
      <c r="G211" s="40"/>
      <c r="H211" s="40"/>
      <c r="I211" s="40"/>
      <c r="J211" s="40"/>
      <c r="K211" s="40"/>
      <c r="L211" s="40"/>
    </row>
    <row r="212" spans="1:12" x14ac:dyDescent="0.4">
      <c r="A212" s="11">
        <f>B212*100/$B$199</f>
        <v>13.101124695596832</v>
      </c>
      <c r="B212" s="10">
        <f>(E212+D212)/(C212*1000)</f>
        <v>7.8606748173580987E-2</v>
      </c>
      <c r="C212" s="1">
        <v>2</v>
      </c>
      <c r="D212" s="13">
        <f>$H$110*C212*1000</f>
        <v>82.213496347161964</v>
      </c>
      <c r="E212" s="1">
        <v>75</v>
      </c>
      <c r="F212" s="40"/>
      <c r="G212" s="40"/>
      <c r="H212" s="40"/>
      <c r="I212" s="40"/>
      <c r="J212" s="40"/>
      <c r="K212" s="40"/>
      <c r="L212" s="40"/>
    </row>
    <row r="213" spans="1:12" x14ac:dyDescent="0.4">
      <c r="A213" s="11">
        <f>B213*100/$B$199</f>
        <v>18.934458028930162</v>
      </c>
      <c r="B213" s="10">
        <f>(E213+D213)/(C213*1000)</f>
        <v>0.11360674817358098</v>
      </c>
      <c r="C213" s="1">
        <v>2</v>
      </c>
      <c r="D213" s="13">
        <f>$H$110*C213*1000</f>
        <v>82.213496347161964</v>
      </c>
      <c r="E213" s="1">
        <v>145</v>
      </c>
      <c r="F213" s="40"/>
      <c r="G213" s="40"/>
      <c r="H213" s="40"/>
      <c r="I213" s="40"/>
      <c r="J213" s="40"/>
      <c r="K213" s="40"/>
      <c r="L213" s="40"/>
    </row>
    <row r="214" spans="1:12" x14ac:dyDescent="0.4">
      <c r="A214" s="11">
        <f>B214*100/$B$199</f>
        <v>9.3511246955968303</v>
      </c>
      <c r="B214" s="10">
        <f t="shared" ref="B214:B215" si="47">(E214+D214)/(C214*1000)</f>
        <v>5.6106748173580981E-2</v>
      </c>
      <c r="C214" s="1">
        <v>2</v>
      </c>
      <c r="D214" s="13">
        <f>$H$110*C214*1000</f>
        <v>82.213496347161964</v>
      </c>
      <c r="E214" s="13">
        <v>30</v>
      </c>
      <c r="F214" s="40"/>
      <c r="G214" s="40"/>
      <c r="H214" s="40"/>
      <c r="I214" s="40"/>
      <c r="J214" s="40"/>
      <c r="K214" s="40"/>
      <c r="L214" s="40"/>
    </row>
    <row r="215" spans="1:12" x14ac:dyDescent="0.4">
      <c r="A215" s="11">
        <f>B215*100/$B$199</f>
        <v>12.684458028930166</v>
      </c>
      <c r="B215" s="10">
        <f t="shared" si="47"/>
        <v>7.6106748173580985E-2</v>
      </c>
      <c r="C215" s="1">
        <v>2</v>
      </c>
      <c r="D215" s="13">
        <f>$H$110*C215*1000</f>
        <v>82.213496347161964</v>
      </c>
      <c r="E215" s="13">
        <v>70</v>
      </c>
      <c r="F215" s="40"/>
      <c r="G215" s="40"/>
      <c r="H215" s="40"/>
      <c r="I215" s="40"/>
      <c r="J215" s="40"/>
      <c r="K215" s="40"/>
      <c r="L215" s="40"/>
    </row>
    <row r="218" spans="1:12" x14ac:dyDescent="0.4">
      <c r="A218" s="41" t="s">
        <v>45</v>
      </c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</row>
    <row r="219" spans="1:12" x14ac:dyDescent="0.4">
      <c r="A219" s="123" t="s">
        <v>45</v>
      </c>
      <c r="B219" s="123"/>
    </row>
    <row r="220" spans="1:12" x14ac:dyDescent="0.4">
      <c r="A220" s="66"/>
      <c r="B220" s="89" t="s">
        <v>1</v>
      </c>
      <c r="C220" s="79" t="s">
        <v>2</v>
      </c>
    </row>
    <row r="221" spans="1:12" x14ac:dyDescent="0.4">
      <c r="A221" s="70" t="s">
        <v>3</v>
      </c>
      <c r="B221" s="74">
        <v>1.129</v>
      </c>
      <c r="C221" s="1">
        <f>$G$239*B221</f>
        <v>1.1015441043878984</v>
      </c>
    </row>
    <row r="222" spans="1:12" x14ac:dyDescent="0.4">
      <c r="A222" s="70" t="s">
        <v>4</v>
      </c>
      <c r="B222" s="74">
        <v>2.258</v>
      </c>
      <c r="C222" s="12">
        <f>B222</f>
        <v>2.258</v>
      </c>
    </row>
    <row r="223" spans="1:12" x14ac:dyDescent="0.4">
      <c r="A223" s="71" t="s">
        <v>5</v>
      </c>
      <c r="B223" s="80">
        <f>(100-(B221/B222)*100)</f>
        <v>50</v>
      </c>
      <c r="C223" s="80">
        <f>(100-(C221/C222)*100)</f>
        <v>51.215938689641341</v>
      </c>
    </row>
    <row r="224" spans="1:12" x14ac:dyDescent="0.4">
      <c r="A224" s="71" t="s">
        <v>6</v>
      </c>
      <c r="B224" s="35">
        <f>$H$238</f>
        <v>2.4929855604989518E-2</v>
      </c>
    </row>
    <row r="225" spans="1:12" x14ac:dyDescent="0.4">
      <c r="A225" s="71" t="s">
        <v>7</v>
      </c>
      <c r="B225" s="35">
        <f>$I$238</f>
        <v>5.361872918375699</v>
      </c>
    </row>
    <row r="226" spans="1:12" x14ac:dyDescent="0.4">
      <c r="A226" s="72" t="s">
        <v>8</v>
      </c>
      <c r="B226" s="24"/>
    </row>
    <row r="227" spans="1:12" x14ac:dyDescent="0.4">
      <c r="A227" s="70" t="s">
        <v>9</v>
      </c>
      <c r="B227" s="25" t="s">
        <v>40</v>
      </c>
    </row>
    <row r="228" spans="1:12" x14ac:dyDescent="0.4">
      <c r="A228" s="70" t="s">
        <v>11</v>
      </c>
      <c r="B228" s="25">
        <v>4.7</v>
      </c>
    </row>
    <row r="229" spans="1:12" x14ac:dyDescent="0.4">
      <c r="A229" s="70" t="s">
        <v>12</v>
      </c>
      <c r="B229" s="90">
        <f>$L$238</f>
        <v>6.1962874675961617</v>
      </c>
    </row>
    <row r="230" spans="1:12" x14ac:dyDescent="0.4">
      <c r="A230" s="70" t="s">
        <v>13</v>
      </c>
      <c r="B230" s="90">
        <f>0.58*B229</f>
        <v>3.5938467312057734</v>
      </c>
    </row>
    <row r="231" spans="1:12" x14ac:dyDescent="0.4">
      <c r="A231" s="77"/>
      <c r="B231" s="37"/>
    </row>
    <row r="232" spans="1:12" x14ac:dyDescent="0.4">
      <c r="A232" s="43" t="s">
        <v>14</v>
      </c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</row>
    <row r="233" spans="1:12" s="5" customFormat="1" ht="64" x14ac:dyDescent="0.4">
      <c r="A233" s="23" t="s">
        <v>15</v>
      </c>
      <c r="B233" s="23" t="s">
        <v>16</v>
      </c>
      <c r="C233" s="23" t="s">
        <v>17</v>
      </c>
      <c r="D233" s="23" t="s">
        <v>18</v>
      </c>
      <c r="E233" s="23" t="s">
        <v>19</v>
      </c>
      <c r="F233" s="23" t="s">
        <v>20</v>
      </c>
      <c r="G233" s="23" t="s">
        <v>21</v>
      </c>
      <c r="H233" s="23" t="s">
        <v>22</v>
      </c>
      <c r="I233" s="23" t="s">
        <v>23</v>
      </c>
      <c r="J233" s="23" t="s">
        <v>24</v>
      </c>
      <c r="K233" s="23" t="s">
        <v>25</v>
      </c>
      <c r="L233" s="23" t="s">
        <v>12</v>
      </c>
    </row>
    <row r="234" spans="1:12" x14ac:dyDescent="0.4">
      <c r="A234" s="87">
        <v>1</v>
      </c>
      <c r="B234" s="87">
        <v>9.7614999999999998</v>
      </c>
      <c r="C234" s="87">
        <v>10.7563</v>
      </c>
      <c r="D234" s="87">
        <f>C234-B234</f>
        <v>0.99479999999999968</v>
      </c>
      <c r="E234" s="87">
        <v>10.730600000000001</v>
      </c>
      <c r="F234" s="87">
        <f>C234-E234</f>
        <v>2.5699999999998724E-2</v>
      </c>
      <c r="G234" s="22">
        <f>D234-F234</f>
        <v>0.96910000000000096</v>
      </c>
      <c r="H234" s="82">
        <f>F234/G234</f>
        <v>2.6519451037043337E-2</v>
      </c>
      <c r="I234" s="51">
        <f>100*H234*$C$221/(0.01*$C$223)</f>
        <v>5.7037605262845563</v>
      </c>
      <c r="J234" s="87">
        <v>10.6721</v>
      </c>
      <c r="K234" s="22">
        <f>E234-J234</f>
        <v>5.8500000000000441E-2</v>
      </c>
      <c r="L234" s="51">
        <f>100*K234/G234</f>
        <v>6.0365287380043737</v>
      </c>
    </row>
    <row r="235" spans="1:12" x14ac:dyDescent="0.4">
      <c r="A235" s="87">
        <v>2</v>
      </c>
      <c r="B235" s="87">
        <v>10.0932</v>
      </c>
      <c r="C235" s="87">
        <v>11.0891</v>
      </c>
      <c r="D235" s="87">
        <f t="shared" ref="D235:D237" si="48">C235-B235</f>
        <v>0.99590000000000067</v>
      </c>
      <c r="E235" s="87">
        <v>11.063599999999999</v>
      </c>
      <c r="F235" s="87">
        <f t="shared" ref="F235:F237" si="49">C235-E235</f>
        <v>2.5500000000000966E-2</v>
      </c>
      <c r="G235" s="22">
        <f t="shared" ref="G235:G237" si="50">D235-F235</f>
        <v>0.97039999999999971</v>
      </c>
      <c r="H235" s="82">
        <f t="shared" ref="H235:H237" si="51">F235/G235</f>
        <v>2.6277823577907023E-2</v>
      </c>
      <c r="I235" s="51">
        <f t="shared" ref="I235:I237" si="52">100*H235*$C$221/(0.01*$C$223)</f>
        <v>5.6517916841858629</v>
      </c>
      <c r="J235" s="87">
        <v>11.002599999999999</v>
      </c>
      <c r="K235" s="22">
        <f>E235-J235</f>
        <v>6.0999999999999943E-2</v>
      </c>
      <c r="L235" s="51">
        <f t="shared" ref="L235:L237" si="53">100*K235/G235</f>
        <v>6.2860676009892789</v>
      </c>
    </row>
    <row r="236" spans="1:12" x14ac:dyDescent="0.4">
      <c r="A236" s="87">
        <v>3</v>
      </c>
      <c r="B236" s="87">
        <v>10.0334</v>
      </c>
      <c r="C236" s="87">
        <v>11.0382</v>
      </c>
      <c r="D236" s="87">
        <f t="shared" si="48"/>
        <v>1.0047999999999995</v>
      </c>
      <c r="E236" s="87">
        <v>11.014200000000001</v>
      </c>
      <c r="F236" s="87">
        <f t="shared" si="49"/>
        <v>2.3999999999999133E-2</v>
      </c>
      <c r="G236" s="22">
        <f t="shared" si="50"/>
        <v>0.98080000000000034</v>
      </c>
      <c r="H236" s="82">
        <f t="shared" si="51"/>
        <v>2.4469820554648372E-2</v>
      </c>
      <c r="I236" s="51">
        <f t="shared" si="52"/>
        <v>5.2629293257207097</v>
      </c>
      <c r="J236" s="87">
        <v>10.952400000000001</v>
      </c>
      <c r="K236" s="22">
        <f>E236-J236</f>
        <v>6.1799999999999855E-2</v>
      </c>
      <c r="L236" s="51">
        <f t="shared" si="53"/>
        <v>6.3009787928221694</v>
      </c>
    </row>
    <row r="237" spans="1:12" x14ac:dyDescent="0.4">
      <c r="A237" s="87">
        <v>4</v>
      </c>
      <c r="B237" s="88">
        <v>10.727600000000001</v>
      </c>
      <c r="C237" s="87">
        <v>11.7249</v>
      </c>
      <c r="D237" s="87">
        <f t="shared" si="48"/>
        <v>0.99729999999999919</v>
      </c>
      <c r="E237" s="87">
        <v>11.702999999999999</v>
      </c>
      <c r="F237" s="87">
        <f t="shared" si="49"/>
        <v>2.1900000000000475E-2</v>
      </c>
      <c r="G237" s="22">
        <f t="shared" si="50"/>
        <v>0.97539999999999871</v>
      </c>
      <c r="H237" s="82">
        <f t="shared" si="51"/>
        <v>2.2452327250359342E-2</v>
      </c>
      <c r="I237" s="51">
        <f t="shared" si="52"/>
        <v>4.8290101373116672</v>
      </c>
      <c r="J237" s="87">
        <v>11.642899999999999</v>
      </c>
      <c r="K237" s="22">
        <f>E237-J237</f>
        <v>6.0100000000000264E-2</v>
      </c>
      <c r="L237" s="51">
        <f t="shared" si="53"/>
        <v>6.1615747385688273</v>
      </c>
    </row>
    <row r="238" spans="1:12" x14ac:dyDescent="0.4">
      <c r="A238" s="88" t="s">
        <v>38</v>
      </c>
      <c r="B238" s="87"/>
      <c r="C238" s="87"/>
      <c r="D238" s="85">
        <f>AVERAGE(D234:D237)</f>
        <v>0.99819999999999975</v>
      </c>
      <c r="E238" s="87"/>
      <c r="F238" s="22"/>
      <c r="G238" s="85">
        <f>AVERAGE(G234:G237)</f>
        <v>0.97392499999999993</v>
      </c>
      <c r="H238" s="85">
        <f>AVERAGE(H234:H237)</f>
        <v>2.4929855604989518E-2</v>
      </c>
      <c r="I238" s="86">
        <f>AVERAGE(I234:I237)</f>
        <v>5.361872918375699</v>
      </c>
      <c r="J238" s="87"/>
      <c r="K238" s="22"/>
      <c r="L238" s="86">
        <f>AVERAGE(L234:L237)</f>
        <v>6.1962874675961617</v>
      </c>
    </row>
    <row r="239" spans="1:12" x14ac:dyDescent="0.4">
      <c r="A239" s="88"/>
      <c r="B239" s="87"/>
      <c r="C239" s="87"/>
      <c r="D239" s="87"/>
      <c r="E239" s="22"/>
      <c r="F239" s="87" t="s">
        <v>27</v>
      </c>
      <c r="G239" s="85">
        <f>G238/D238</f>
        <v>0.97568122620717312</v>
      </c>
      <c r="H239" s="86"/>
      <c r="I239" s="87"/>
      <c r="J239" s="22"/>
      <c r="K239" s="52"/>
      <c r="L239" s="86"/>
    </row>
    <row r="240" spans="1:12" x14ac:dyDescent="0.4">
      <c r="A240" s="40"/>
      <c r="B240" s="45"/>
      <c r="C240" s="40"/>
      <c r="D240" s="40"/>
      <c r="E240" s="40"/>
      <c r="F240" s="40"/>
      <c r="G240" s="40"/>
      <c r="H240" s="40"/>
      <c r="I240" s="40"/>
      <c r="J240" s="40"/>
      <c r="K240" s="40"/>
      <c r="L240" s="40"/>
    </row>
    <row r="241" spans="1:12" x14ac:dyDescent="0.4">
      <c r="A241" s="43" t="s">
        <v>28</v>
      </c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</row>
    <row r="242" spans="1:12" x14ac:dyDescent="0.4">
      <c r="A242" s="40" t="s">
        <v>5</v>
      </c>
      <c r="B242" s="46">
        <v>0.5</v>
      </c>
      <c r="C242" s="40"/>
      <c r="D242" s="40"/>
      <c r="E242" s="40"/>
      <c r="F242" s="40"/>
      <c r="G242" s="40"/>
      <c r="H242" s="40"/>
      <c r="I242" s="40"/>
      <c r="J242" s="40"/>
      <c r="K242" s="40"/>
      <c r="L242" s="40"/>
    </row>
    <row r="243" spans="1:12" x14ac:dyDescent="0.4">
      <c r="A243" s="40" t="s">
        <v>29</v>
      </c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</row>
    <row r="244" spans="1:12" x14ac:dyDescent="0.4">
      <c r="A244" s="40"/>
      <c r="B244" s="45"/>
      <c r="C244" s="40"/>
      <c r="D244" s="40"/>
      <c r="E244" s="40"/>
      <c r="F244" s="40"/>
      <c r="G244" s="40"/>
      <c r="H244" s="40"/>
      <c r="I244" s="40"/>
      <c r="J244" s="40"/>
      <c r="K244" s="40"/>
      <c r="L244" s="40"/>
    </row>
    <row r="245" spans="1:12" ht="32" x14ac:dyDescent="0.4">
      <c r="A245" s="44" t="s">
        <v>30</v>
      </c>
      <c r="B245" s="47" t="s">
        <v>31</v>
      </c>
      <c r="C245" s="44" t="s">
        <v>32</v>
      </c>
      <c r="D245" s="44" t="s">
        <v>33</v>
      </c>
      <c r="E245" s="44" t="s">
        <v>34</v>
      </c>
      <c r="F245" s="44" t="s">
        <v>35</v>
      </c>
      <c r="G245" s="44"/>
      <c r="H245" s="44"/>
      <c r="I245" s="44"/>
      <c r="J245" s="44"/>
      <c r="K245" s="44"/>
      <c r="L245" s="44"/>
    </row>
    <row r="246" spans="1:12" x14ac:dyDescent="0.4">
      <c r="A246" s="44">
        <v>5</v>
      </c>
      <c r="B246" s="10">
        <f>A246*$B$242*0.01</f>
        <v>2.5000000000000001E-2</v>
      </c>
      <c r="C246" s="44">
        <v>2</v>
      </c>
      <c r="D246" s="13">
        <f t="shared" ref="D246:D254" si="54">$H$238*C246*1000</f>
        <v>49.859711209979032</v>
      </c>
      <c r="E246" s="13">
        <f t="shared" ref="E246:E254" si="55">B246*C246*1000-D246</f>
        <v>0.14028879002096772</v>
      </c>
      <c r="F246" s="44"/>
      <c r="G246" s="44"/>
      <c r="H246" s="44"/>
      <c r="I246" s="44"/>
      <c r="J246" s="44"/>
      <c r="K246" s="44"/>
      <c r="L246" s="44"/>
    </row>
    <row r="247" spans="1:12" x14ac:dyDescent="0.4">
      <c r="A247" s="44">
        <v>6</v>
      </c>
      <c r="B247" s="10">
        <f t="shared" ref="B247:B254" si="56">A247*$B$242*0.01</f>
        <v>0.03</v>
      </c>
      <c r="C247" s="44">
        <v>2</v>
      </c>
      <c r="D247" s="13">
        <f t="shared" si="54"/>
        <v>49.859711209979032</v>
      </c>
      <c r="E247" s="13">
        <f t="shared" si="55"/>
        <v>10.140288790020968</v>
      </c>
      <c r="F247" s="44"/>
      <c r="G247" s="44"/>
      <c r="H247" s="44"/>
      <c r="I247" s="44"/>
      <c r="J247" s="44"/>
      <c r="K247" s="44"/>
      <c r="L247" s="44"/>
    </row>
    <row r="248" spans="1:12" x14ac:dyDescent="0.4">
      <c r="A248" s="1">
        <v>7</v>
      </c>
      <c r="B248" s="10">
        <f t="shared" si="56"/>
        <v>3.5000000000000003E-2</v>
      </c>
      <c r="C248" s="1">
        <v>2</v>
      </c>
      <c r="D248" s="13">
        <f t="shared" si="54"/>
        <v>49.859711209979032</v>
      </c>
      <c r="E248" s="13">
        <f t="shared" si="55"/>
        <v>20.140288790020968</v>
      </c>
      <c r="F248" s="44"/>
      <c r="G248" s="44"/>
      <c r="H248" s="44"/>
      <c r="I248" s="44"/>
      <c r="J248" s="44"/>
      <c r="K248" s="44"/>
      <c r="L248" s="44"/>
    </row>
    <row r="249" spans="1:12" x14ac:dyDescent="0.4">
      <c r="A249" s="1">
        <v>8</v>
      </c>
      <c r="B249" s="10">
        <f t="shared" si="56"/>
        <v>0.04</v>
      </c>
      <c r="C249" s="1">
        <v>2</v>
      </c>
      <c r="D249" s="13">
        <f t="shared" si="54"/>
        <v>49.859711209979032</v>
      </c>
      <c r="E249" s="13">
        <f t="shared" si="55"/>
        <v>30.140288790020968</v>
      </c>
      <c r="F249" s="44"/>
      <c r="G249" s="44"/>
      <c r="H249" s="44"/>
      <c r="I249" s="44"/>
      <c r="J249" s="44"/>
      <c r="K249" s="44"/>
      <c r="L249" s="44"/>
    </row>
    <row r="250" spans="1:12" x14ac:dyDescent="0.4">
      <c r="A250" s="1">
        <v>9</v>
      </c>
      <c r="B250" s="10">
        <f t="shared" si="56"/>
        <v>4.4999999999999998E-2</v>
      </c>
      <c r="C250" s="1">
        <v>2</v>
      </c>
      <c r="D250" s="13">
        <f t="shared" si="54"/>
        <v>49.859711209979032</v>
      </c>
      <c r="E250" s="13">
        <f t="shared" si="55"/>
        <v>40.140288790020968</v>
      </c>
      <c r="F250" s="44"/>
      <c r="G250" s="44"/>
      <c r="H250" s="44"/>
      <c r="I250" s="44"/>
      <c r="J250" s="44"/>
      <c r="K250" s="44"/>
      <c r="L250" s="44"/>
    </row>
    <row r="251" spans="1:12" x14ac:dyDescent="0.4">
      <c r="A251" s="1">
        <v>10</v>
      </c>
      <c r="B251" s="10">
        <f t="shared" si="56"/>
        <v>0.05</v>
      </c>
      <c r="C251" s="1">
        <v>2</v>
      </c>
      <c r="D251" s="13">
        <f t="shared" si="54"/>
        <v>49.859711209979032</v>
      </c>
      <c r="E251" s="13">
        <f t="shared" si="55"/>
        <v>50.140288790020968</v>
      </c>
      <c r="F251" s="49"/>
      <c r="G251" s="40"/>
      <c r="H251" s="40"/>
      <c r="I251" s="40"/>
      <c r="J251" s="40"/>
      <c r="K251" s="40"/>
      <c r="L251" s="40"/>
    </row>
    <row r="252" spans="1:12" x14ac:dyDescent="0.4">
      <c r="A252" s="1">
        <v>15</v>
      </c>
      <c r="B252" s="10">
        <f t="shared" si="56"/>
        <v>7.4999999999999997E-2</v>
      </c>
      <c r="C252" s="1">
        <v>2</v>
      </c>
      <c r="D252" s="13">
        <f t="shared" si="54"/>
        <v>49.859711209979032</v>
      </c>
      <c r="E252" s="13">
        <f t="shared" si="55"/>
        <v>100.14028879002097</v>
      </c>
      <c r="F252" s="49"/>
      <c r="G252" s="40"/>
      <c r="H252" s="40"/>
      <c r="I252" s="40"/>
      <c r="J252" s="40"/>
      <c r="K252" s="40"/>
      <c r="L252" s="40"/>
    </row>
    <row r="253" spans="1:12" x14ac:dyDescent="0.4">
      <c r="A253" s="1">
        <v>20</v>
      </c>
      <c r="B253" s="10">
        <f t="shared" si="56"/>
        <v>0.1</v>
      </c>
      <c r="C253" s="1">
        <v>2</v>
      </c>
      <c r="D253" s="13">
        <f t="shared" si="54"/>
        <v>49.859711209979032</v>
      </c>
      <c r="E253" s="13">
        <f t="shared" si="55"/>
        <v>150.14028879002097</v>
      </c>
      <c r="F253" s="49"/>
      <c r="G253" s="40"/>
      <c r="H253" s="40"/>
      <c r="I253" s="40"/>
      <c r="J253" s="40"/>
      <c r="K253" s="40"/>
      <c r="L253" s="40"/>
    </row>
    <row r="254" spans="1:12" x14ac:dyDescent="0.4">
      <c r="A254" s="1">
        <v>25</v>
      </c>
      <c r="B254" s="10">
        <f t="shared" si="56"/>
        <v>0.125</v>
      </c>
      <c r="C254" s="1">
        <v>2</v>
      </c>
      <c r="D254" s="13">
        <f t="shared" si="54"/>
        <v>49.859711209979032</v>
      </c>
      <c r="E254" s="13">
        <f t="shared" si="55"/>
        <v>200.14028879002097</v>
      </c>
      <c r="F254" s="49"/>
      <c r="G254" s="40"/>
      <c r="H254" s="40"/>
      <c r="I254" s="40"/>
      <c r="J254" s="40"/>
      <c r="K254" s="40"/>
      <c r="L254" s="40"/>
    </row>
    <row r="255" spans="1:12" x14ac:dyDescent="0.4">
      <c r="A255" s="40"/>
      <c r="B255" s="45"/>
      <c r="C255" s="40"/>
      <c r="D255" s="48"/>
      <c r="E255" s="48"/>
      <c r="F255" s="40"/>
      <c r="G255" s="40"/>
      <c r="H255" s="40"/>
      <c r="I255" s="40"/>
      <c r="J255" s="40"/>
      <c r="K255" s="40"/>
      <c r="L255" s="40"/>
    </row>
    <row r="256" spans="1:12" x14ac:dyDescent="0.4">
      <c r="A256" s="40" t="s">
        <v>36</v>
      </c>
      <c r="B256" s="40"/>
      <c r="C256" s="40"/>
      <c r="D256" s="48"/>
      <c r="E256" s="48"/>
      <c r="F256" s="40"/>
      <c r="G256" s="40"/>
      <c r="H256" s="40"/>
      <c r="I256" s="40"/>
      <c r="J256" s="40"/>
      <c r="K256" s="40"/>
      <c r="L256" s="40"/>
    </row>
    <row r="257" spans="1:12" x14ac:dyDescent="0.4">
      <c r="A257" s="11">
        <f>B257*100/$B$242</f>
        <v>15.721349634716198</v>
      </c>
      <c r="B257" s="10">
        <f>(E257+D257)/(C257*1000)</f>
        <v>7.8606748173580987E-2</v>
      </c>
      <c r="C257" s="1">
        <v>2</v>
      </c>
      <c r="D257" s="13">
        <f>$H$110*C257*1000</f>
        <v>82.213496347161964</v>
      </c>
      <c r="E257" s="1">
        <v>75</v>
      </c>
      <c r="F257" s="40"/>
      <c r="G257" s="40"/>
      <c r="H257" s="40"/>
      <c r="I257" s="40"/>
      <c r="J257" s="40"/>
      <c r="K257" s="40"/>
      <c r="L257" s="40"/>
    </row>
    <row r="258" spans="1:12" x14ac:dyDescent="0.4">
      <c r="A258" s="11">
        <f t="shared" ref="A258:A260" si="57">B258*100/$B$242</f>
        <v>22.721349634716194</v>
      </c>
      <c r="B258" s="10">
        <f>(E258+D258)/(C258*1000)</f>
        <v>0.11360674817358098</v>
      </c>
      <c r="C258" s="1">
        <v>2</v>
      </c>
      <c r="D258" s="13">
        <f>$H$110*C258*1000</f>
        <v>82.213496347161964</v>
      </c>
      <c r="E258" s="1">
        <v>145</v>
      </c>
      <c r="F258" s="40"/>
      <c r="G258" s="40"/>
      <c r="H258" s="40"/>
      <c r="I258" s="40"/>
      <c r="J258" s="40"/>
      <c r="K258" s="40"/>
      <c r="L258" s="40"/>
    </row>
    <row r="259" spans="1:12" x14ac:dyDescent="0.4">
      <c r="A259" s="11">
        <f t="shared" si="57"/>
        <v>11.221349634716196</v>
      </c>
      <c r="B259" s="10">
        <f t="shared" ref="B259:B260" si="58">(E259+D259)/(C259*1000)</f>
        <v>5.6106748173580981E-2</v>
      </c>
      <c r="C259" s="1">
        <v>2</v>
      </c>
      <c r="D259" s="13">
        <f>$H$110*C259*1000</f>
        <v>82.213496347161964</v>
      </c>
      <c r="E259" s="13">
        <v>30</v>
      </c>
      <c r="F259" s="40"/>
      <c r="G259" s="40"/>
      <c r="H259" s="40"/>
      <c r="I259" s="40"/>
      <c r="J259" s="40"/>
      <c r="K259" s="40"/>
      <c r="L259" s="40"/>
    </row>
    <row r="260" spans="1:12" x14ac:dyDescent="0.4">
      <c r="A260" s="11">
        <f t="shared" si="57"/>
        <v>15.221349634716198</v>
      </c>
      <c r="B260" s="10">
        <f t="shared" si="58"/>
        <v>7.6106748173580985E-2</v>
      </c>
      <c r="C260" s="1">
        <v>2</v>
      </c>
      <c r="D260" s="13">
        <f>$H$110*C260*1000</f>
        <v>82.213496347161964</v>
      </c>
      <c r="E260" s="13">
        <v>70</v>
      </c>
      <c r="F260" s="40"/>
      <c r="G260" s="40"/>
      <c r="H260" s="40"/>
      <c r="I260" s="40"/>
      <c r="J260" s="40"/>
      <c r="K260" s="40"/>
      <c r="L260" s="40"/>
    </row>
    <row r="265" spans="1:12" x14ac:dyDescent="0.4">
      <c r="A265" s="41" t="s">
        <v>46</v>
      </c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</row>
    <row r="266" spans="1:12" x14ac:dyDescent="0.4">
      <c r="A266" s="122" t="s">
        <v>46</v>
      </c>
      <c r="B266" s="122"/>
    </row>
    <row r="267" spans="1:12" x14ac:dyDescent="0.4">
      <c r="A267" s="65"/>
      <c r="B267" s="89" t="s">
        <v>1</v>
      </c>
      <c r="C267" s="79" t="s">
        <v>2</v>
      </c>
    </row>
    <row r="268" spans="1:12" x14ac:dyDescent="0.4">
      <c r="A268" s="70" t="s">
        <v>3</v>
      </c>
      <c r="B268" s="74">
        <v>1.389</v>
      </c>
      <c r="C268" s="1">
        <f>$G$285*B268</f>
        <v>1.3765271569777184</v>
      </c>
    </row>
    <row r="269" spans="1:12" x14ac:dyDescent="0.4">
      <c r="A269" s="70" t="s">
        <v>4</v>
      </c>
      <c r="B269" s="74">
        <v>2.395</v>
      </c>
      <c r="C269" s="12">
        <f>B269</f>
        <v>2.395</v>
      </c>
    </row>
    <row r="270" spans="1:12" x14ac:dyDescent="0.4">
      <c r="A270" s="71" t="s">
        <v>5</v>
      </c>
      <c r="B270" s="80">
        <f>(100-(B268/B269)*100)</f>
        <v>42.004175365344466</v>
      </c>
      <c r="C270" s="80">
        <f>(100-(C268/C269)*100)</f>
        <v>42.52496213036666</v>
      </c>
    </row>
    <row r="271" spans="1:12" x14ac:dyDescent="0.4">
      <c r="A271" s="71" t="s">
        <v>6</v>
      </c>
      <c r="B271" s="35">
        <f>$H$284</f>
        <v>9.009725596998747E-3</v>
      </c>
    </row>
    <row r="272" spans="1:12" x14ac:dyDescent="0.4">
      <c r="A272" s="71" t="s">
        <v>7</v>
      </c>
      <c r="B272" s="35">
        <f>$I$284</f>
        <v>2.9164357450020684</v>
      </c>
    </row>
    <row r="273" spans="1:12" ht="32" x14ac:dyDescent="0.4">
      <c r="A273" s="72" t="s">
        <v>8</v>
      </c>
      <c r="B273" s="24" t="s">
        <v>121</v>
      </c>
    </row>
    <row r="274" spans="1:12" x14ac:dyDescent="0.4">
      <c r="A274" s="70" t="s">
        <v>9</v>
      </c>
      <c r="B274" s="25" t="s">
        <v>122</v>
      </c>
    </row>
    <row r="275" spans="1:12" x14ac:dyDescent="0.4">
      <c r="A275" s="70" t="s">
        <v>11</v>
      </c>
      <c r="B275" s="25"/>
    </row>
    <row r="276" spans="1:12" x14ac:dyDescent="0.4">
      <c r="A276" s="70" t="s">
        <v>12</v>
      </c>
      <c r="B276" s="90">
        <f>$L$284</f>
        <v>3.2092232754481711</v>
      </c>
    </row>
    <row r="277" spans="1:12" x14ac:dyDescent="0.4">
      <c r="A277" s="70" t="s">
        <v>13</v>
      </c>
      <c r="B277" s="90">
        <f>0.58*B276</f>
        <v>1.8613494997599391</v>
      </c>
    </row>
    <row r="278" spans="1:12" x14ac:dyDescent="0.4">
      <c r="A278" s="77"/>
      <c r="B278" s="37"/>
    </row>
    <row r="279" spans="1:12" x14ac:dyDescent="0.4">
      <c r="A279" s="43" t="s">
        <v>14</v>
      </c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</row>
    <row r="280" spans="1:12" s="5" customFormat="1" ht="64" x14ac:dyDescent="0.4">
      <c r="A280" s="23" t="s">
        <v>15</v>
      </c>
      <c r="B280" s="23" t="s">
        <v>16</v>
      </c>
      <c r="C280" s="23" t="s">
        <v>17</v>
      </c>
      <c r="D280" s="23" t="s">
        <v>18</v>
      </c>
      <c r="E280" s="23" t="s">
        <v>19</v>
      </c>
      <c r="F280" s="23" t="s">
        <v>20</v>
      </c>
      <c r="G280" s="23" t="s">
        <v>21</v>
      </c>
      <c r="H280" s="23" t="s">
        <v>22</v>
      </c>
      <c r="I280" s="23" t="s">
        <v>23</v>
      </c>
      <c r="J280" s="23" t="s">
        <v>24</v>
      </c>
      <c r="K280" s="23" t="s">
        <v>25</v>
      </c>
      <c r="L280" s="23" t="s">
        <v>12</v>
      </c>
    </row>
    <row r="281" spans="1:12" x14ac:dyDescent="0.4">
      <c r="A281" s="87">
        <v>1</v>
      </c>
      <c r="B281" s="22">
        <v>9.9954999999999998</v>
      </c>
      <c r="C281" s="22">
        <v>11.041600000000001</v>
      </c>
      <c r="D281" s="87">
        <f>C281-B281</f>
        <v>1.0461000000000009</v>
      </c>
      <c r="E281" s="22">
        <v>11.032400000000001</v>
      </c>
      <c r="F281" s="87">
        <f>C281-E281</f>
        <v>9.1999999999998749E-3</v>
      </c>
      <c r="G281" s="22">
        <f>D281-F281</f>
        <v>1.036900000000001</v>
      </c>
      <c r="H281" s="82">
        <f>F281/G281</f>
        <v>8.8726010222778141E-3</v>
      </c>
      <c r="I281" s="51">
        <f>100*H281*$C$268/(0.01*$C$270)</f>
        <v>2.8720487093561045</v>
      </c>
      <c r="J281" s="22">
        <v>10.9977</v>
      </c>
      <c r="K281" s="22">
        <f>E281-J281</f>
        <v>3.4700000000000841E-2</v>
      </c>
      <c r="L281" s="51">
        <f>100*K281/G281</f>
        <v>3.3465136464462151</v>
      </c>
    </row>
    <row r="282" spans="1:12" x14ac:dyDescent="0.4">
      <c r="A282" s="87">
        <v>2</v>
      </c>
      <c r="B282" s="22">
        <v>10.383900000000001</v>
      </c>
      <c r="C282" s="22">
        <v>11.325100000000001</v>
      </c>
      <c r="D282" s="87">
        <f t="shared" ref="D282:D283" si="59">C282-B282</f>
        <v>0.94120000000000026</v>
      </c>
      <c r="E282" s="22">
        <v>11.316599999999999</v>
      </c>
      <c r="F282" s="87">
        <f t="shared" ref="F282:F283" si="60">C282-E282</f>
        <v>8.5000000000015064E-3</v>
      </c>
      <c r="G282" s="22">
        <f t="shared" ref="G282:G283" si="61">D282-F282</f>
        <v>0.93269999999999875</v>
      </c>
      <c r="H282" s="82">
        <f>F282/D282</f>
        <v>9.0310242243959882E-3</v>
      </c>
      <c r="I282" s="51">
        <f t="shared" ref="I282:I283" si="62">100*H282*$C$268/(0.01*$C$270)</f>
        <v>2.9233300813047727</v>
      </c>
      <c r="J282" s="22">
        <v>11.286899999999999</v>
      </c>
      <c r="K282" s="22">
        <f>E282-J282</f>
        <v>2.970000000000006E-2</v>
      </c>
      <c r="L282" s="51">
        <f t="shared" ref="L282:L283" si="63">100*K282/G282</f>
        <v>3.18430363460921</v>
      </c>
    </row>
    <row r="283" spans="1:12" x14ac:dyDescent="0.4">
      <c r="A283" s="87">
        <v>3</v>
      </c>
      <c r="B283" s="22">
        <v>10.5268</v>
      </c>
      <c r="C283" s="22">
        <v>11.523999999999999</v>
      </c>
      <c r="D283" s="87">
        <f t="shared" si="59"/>
        <v>0.99719999999999942</v>
      </c>
      <c r="E283" s="22">
        <v>11.514900000000001</v>
      </c>
      <c r="F283" s="87">
        <f t="shared" si="60"/>
        <v>9.0999999999983316E-3</v>
      </c>
      <c r="G283" s="22">
        <f t="shared" si="61"/>
        <v>0.98810000000000109</v>
      </c>
      <c r="H283" s="82">
        <f>F283/D283</f>
        <v>9.1255515443224404E-3</v>
      </c>
      <c r="I283" s="51">
        <f t="shared" si="62"/>
        <v>2.953928444345328</v>
      </c>
      <c r="J283" s="22">
        <v>11.484299999999999</v>
      </c>
      <c r="K283" s="22">
        <f>E283-J283</f>
        <v>3.0600000000001515E-2</v>
      </c>
      <c r="L283" s="51">
        <f t="shared" si="63"/>
        <v>3.0968525452890883</v>
      </c>
    </row>
    <row r="284" spans="1:12" x14ac:dyDescent="0.4">
      <c r="A284" s="88" t="s">
        <v>38</v>
      </c>
      <c r="B284" s="87"/>
      <c r="C284" s="87"/>
      <c r="D284" s="85">
        <f>AVERAGE(D281:D283)</f>
        <v>0.99483333333333357</v>
      </c>
      <c r="E284" s="85"/>
      <c r="F284" s="87"/>
      <c r="G284" s="85">
        <f>AVERAGE(G281:G283)</f>
        <v>0.98590000000000033</v>
      </c>
      <c r="H284" s="85">
        <f>AVERAGE(H281:H283)</f>
        <v>9.009725596998747E-3</v>
      </c>
      <c r="I284" s="86">
        <f>AVERAGE(I281:I283)</f>
        <v>2.9164357450020684</v>
      </c>
      <c r="J284" s="87"/>
      <c r="K284" s="22"/>
      <c r="L284" s="86">
        <f>AVERAGE(L281:L283)</f>
        <v>3.2092232754481711</v>
      </c>
    </row>
    <row r="285" spans="1:12" x14ac:dyDescent="0.4">
      <c r="A285" s="88"/>
      <c r="B285" s="87"/>
      <c r="C285" s="87"/>
      <c r="D285" s="87"/>
      <c r="E285" s="87"/>
      <c r="F285" s="22" t="s">
        <v>27</v>
      </c>
      <c r="G285" s="85">
        <f>G284/D284</f>
        <v>0.99102027140224502</v>
      </c>
      <c r="H285" s="86"/>
      <c r="I285" s="87"/>
      <c r="J285" s="22"/>
      <c r="K285" s="52"/>
      <c r="L285" s="86"/>
    </row>
    <row r="286" spans="1:12" x14ac:dyDescent="0.4">
      <c r="A286" s="40"/>
      <c r="B286" s="45"/>
      <c r="C286" s="40"/>
      <c r="D286" s="40"/>
      <c r="E286" s="40"/>
      <c r="F286" s="40"/>
      <c r="G286" s="40"/>
      <c r="H286" s="40"/>
      <c r="I286" s="40"/>
      <c r="J286" s="40"/>
      <c r="K286" s="40"/>
      <c r="L286" s="40"/>
    </row>
    <row r="287" spans="1:12" x14ac:dyDescent="0.4">
      <c r="A287" s="43" t="s">
        <v>28</v>
      </c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</row>
    <row r="288" spans="1:12" x14ac:dyDescent="0.4">
      <c r="A288" s="40" t="s">
        <v>5</v>
      </c>
      <c r="B288" s="46">
        <v>0.57999999999999996</v>
      </c>
      <c r="C288" s="40"/>
      <c r="D288" s="40"/>
      <c r="E288" s="40"/>
      <c r="F288" s="40"/>
      <c r="G288" s="40"/>
      <c r="H288" s="40"/>
      <c r="I288" s="40"/>
      <c r="J288" s="40"/>
      <c r="K288" s="40"/>
      <c r="L288" s="40"/>
    </row>
    <row r="289" spans="1:12" x14ac:dyDescent="0.4">
      <c r="A289" s="40" t="s">
        <v>29</v>
      </c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</row>
    <row r="290" spans="1:12" x14ac:dyDescent="0.4">
      <c r="A290" s="40"/>
      <c r="B290" s="45"/>
      <c r="C290" s="40"/>
      <c r="D290" s="40"/>
      <c r="E290" s="40"/>
      <c r="F290" s="40"/>
      <c r="G290" s="40"/>
      <c r="H290" s="40"/>
      <c r="I290" s="40"/>
      <c r="J290" s="40"/>
      <c r="K290" s="40"/>
      <c r="L290" s="40"/>
    </row>
    <row r="291" spans="1:12" ht="32" x14ac:dyDescent="0.4">
      <c r="A291" s="44" t="s">
        <v>30</v>
      </c>
      <c r="B291" s="47" t="s">
        <v>31</v>
      </c>
      <c r="C291" s="44" t="s">
        <v>32</v>
      </c>
      <c r="D291" s="44" t="s">
        <v>33</v>
      </c>
      <c r="E291" s="44" t="s">
        <v>34</v>
      </c>
      <c r="F291" s="44" t="s">
        <v>35</v>
      </c>
      <c r="G291" s="44"/>
      <c r="H291" s="44"/>
      <c r="I291" s="44"/>
      <c r="J291" s="44"/>
      <c r="K291" s="44"/>
      <c r="L291" s="44"/>
    </row>
    <row r="292" spans="1:12" x14ac:dyDescent="0.4">
      <c r="A292" s="44">
        <v>2</v>
      </c>
      <c r="B292" s="10">
        <f>A292*$B$288*0.01</f>
        <v>1.1599999999999999E-2</v>
      </c>
      <c r="C292" s="1">
        <v>1</v>
      </c>
      <c r="D292" s="13">
        <f t="shared" ref="D292:D303" si="64">$H$284*C292*1000</f>
        <v>9.0097255969987469</v>
      </c>
      <c r="E292" s="13">
        <f t="shared" ref="E292" si="65">B292*C292*1000-D292</f>
        <v>2.5902744030012528</v>
      </c>
      <c r="F292" s="44"/>
      <c r="G292" s="44"/>
      <c r="H292" s="44"/>
      <c r="I292" s="44"/>
      <c r="J292" s="44"/>
      <c r="K292" s="44"/>
      <c r="L292" s="44"/>
    </row>
    <row r="293" spans="1:12" x14ac:dyDescent="0.4">
      <c r="A293" s="44">
        <v>3</v>
      </c>
      <c r="B293" s="10">
        <f t="shared" ref="B293:B303" si="66">A293*$B$288*0.01</f>
        <v>1.7399999999999999E-2</v>
      </c>
      <c r="C293" s="1">
        <v>2</v>
      </c>
      <c r="D293" s="13">
        <f t="shared" si="64"/>
        <v>18.019451193997494</v>
      </c>
      <c r="E293" s="13">
        <f t="shared" ref="E293:E296" si="67">B293*C293*1000-D293</f>
        <v>16.780548806002503</v>
      </c>
      <c r="F293" s="44"/>
      <c r="G293" s="44"/>
      <c r="H293" s="44"/>
      <c r="I293" s="44"/>
      <c r="J293" s="44"/>
      <c r="K293" s="44"/>
      <c r="L293" s="44"/>
    </row>
    <row r="294" spans="1:12" x14ac:dyDescent="0.4">
      <c r="A294" s="44">
        <v>4</v>
      </c>
      <c r="B294" s="10">
        <f t="shared" si="66"/>
        <v>2.3199999999999998E-2</v>
      </c>
      <c r="C294" s="1">
        <v>2</v>
      </c>
      <c r="D294" s="13">
        <f t="shared" si="64"/>
        <v>18.019451193997494</v>
      </c>
      <c r="E294" s="13">
        <f t="shared" si="67"/>
        <v>28.380548806002505</v>
      </c>
      <c r="F294" s="44"/>
      <c r="G294" s="44"/>
      <c r="H294" s="44"/>
      <c r="I294" s="44"/>
      <c r="J294" s="44"/>
      <c r="K294" s="44"/>
      <c r="L294" s="44"/>
    </row>
    <row r="295" spans="1:12" x14ac:dyDescent="0.4">
      <c r="A295" s="44">
        <v>5</v>
      </c>
      <c r="B295" s="10">
        <f t="shared" si="66"/>
        <v>2.8999999999999998E-2</v>
      </c>
      <c r="C295" s="1">
        <v>2</v>
      </c>
      <c r="D295" s="13">
        <f t="shared" si="64"/>
        <v>18.019451193997494</v>
      </c>
      <c r="E295" s="13">
        <f t="shared" si="67"/>
        <v>39.980548806002503</v>
      </c>
      <c r="F295" s="44"/>
      <c r="G295" s="44"/>
      <c r="H295" s="44"/>
      <c r="I295" s="44"/>
      <c r="J295" s="44"/>
      <c r="K295" s="44"/>
      <c r="L295" s="44"/>
    </row>
    <row r="296" spans="1:12" x14ac:dyDescent="0.4">
      <c r="A296" s="44">
        <v>6</v>
      </c>
      <c r="B296" s="10">
        <f t="shared" si="66"/>
        <v>3.4799999999999998E-2</v>
      </c>
      <c r="C296" s="1">
        <v>2</v>
      </c>
      <c r="D296" s="13">
        <f t="shared" si="64"/>
        <v>18.019451193997494</v>
      </c>
      <c r="E296" s="13">
        <f t="shared" si="67"/>
        <v>51.580548806002497</v>
      </c>
      <c r="F296" s="44"/>
      <c r="G296" s="44"/>
      <c r="H296" s="44"/>
      <c r="I296" s="44"/>
      <c r="J296" s="44"/>
      <c r="K296" s="44"/>
      <c r="L296" s="44"/>
    </row>
    <row r="297" spans="1:12" x14ac:dyDescent="0.4">
      <c r="A297" s="1">
        <v>7</v>
      </c>
      <c r="B297" s="10">
        <f t="shared" si="66"/>
        <v>4.0599999999999997E-2</v>
      </c>
      <c r="C297" s="1">
        <v>2</v>
      </c>
      <c r="D297" s="13">
        <f t="shared" si="64"/>
        <v>18.019451193997494</v>
      </c>
      <c r="E297" s="13">
        <f t="shared" ref="E297:E303" si="68">B297*C297*1000-D297</f>
        <v>63.180548806002491</v>
      </c>
      <c r="F297" s="44"/>
      <c r="G297" s="44"/>
      <c r="H297" s="44"/>
      <c r="I297" s="44"/>
      <c r="J297" s="44"/>
      <c r="K297" s="44"/>
      <c r="L297" s="44"/>
    </row>
    <row r="298" spans="1:12" x14ac:dyDescent="0.4">
      <c r="A298" s="1">
        <v>8</v>
      </c>
      <c r="B298" s="10">
        <f t="shared" si="66"/>
        <v>4.6399999999999997E-2</v>
      </c>
      <c r="C298" s="1">
        <v>2</v>
      </c>
      <c r="D298" s="13">
        <f t="shared" si="64"/>
        <v>18.019451193997494</v>
      </c>
      <c r="E298" s="13">
        <f t="shared" si="68"/>
        <v>74.7805488060025</v>
      </c>
      <c r="F298" s="49"/>
      <c r="G298" s="40"/>
      <c r="H298" s="40"/>
      <c r="I298" s="40"/>
      <c r="J298" s="40"/>
      <c r="K298" s="40"/>
      <c r="L298" s="40"/>
    </row>
    <row r="299" spans="1:12" x14ac:dyDescent="0.4">
      <c r="A299" s="1">
        <v>9</v>
      </c>
      <c r="B299" s="10">
        <f t="shared" si="66"/>
        <v>5.2199999999999996E-2</v>
      </c>
      <c r="C299" s="1">
        <v>2</v>
      </c>
      <c r="D299" s="13">
        <f t="shared" si="64"/>
        <v>18.019451193997494</v>
      </c>
      <c r="E299" s="13">
        <f t="shared" si="68"/>
        <v>86.380548806002494</v>
      </c>
      <c r="F299" s="49"/>
      <c r="G299" s="40"/>
      <c r="H299" s="40"/>
      <c r="I299" s="40"/>
      <c r="J299" s="40"/>
      <c r="K299" s="40"/>
      <c r="L299" s="40"/>
    </row>
    <row r="300" spans="1:12" x14ac:dyDescent="0.4">
      <c r="A300" s="1">
        <v>10</v>
      </c>
      <c r="B300" s="10">
        <f t="shared" si="66"/>
        <v>5.7999999999999996E-2</v>
      </c>
      <c r="C300" s="1">
        <v>2</v>
      </c>
      <c r="D300" s="13">
        <f t="shared" si="64"/>
        <v>18.019451193997494</v>
      </c>
      <c r="E300" s="13">
        <f t="shared" si="68"/>
        <v>97.980548806002489</v>
      </c>
      <c r="F300" s="49"/>
      <c r="G300" s="40"/>
      <c r="H300" s="40"/>
      <c r="I300" s="40"/>
      <c r="J300" s="40"/>
      <c r="K300" s="40"/>
      <c r="L300" s="40"/>
    </row>
    <row r="301" spans="1:12" x14ac:dyDescent="0.4">
      <c r="A301" s="1">
        <v>15</v>
      </c>
      <c r="B301" s="10">
        <f t="shared" si="66"/>
        <v>8.6999999999999994E-2</v>
      </c>
      <c r="C301" s="1">
        <v>2</v>
      </c>
      <c r="D301" s="13">
        <f t="shared" si="64"/>
        <v>18.019451193997494</v>
      </c>
      <c r="E301" s="13">
        <f t="shared" si="68"/>
        <v>155.9805488060025</v>
      </c>
      <c r="F301" s="49"/>
      <c r="G301" s="40"/>
      <c r="H301" s="40"/>
      <c r="I301" s="40"/>
      <c r="J301" s="40"/>
      <c r="K301" s="40"/>
      <c r="L301" s="40"/>
    </row>
    <row r="302" spans="1:12" x14ac:dyDescent="0.4">
      <c r="A302" s="1">
        <v>20</v>
      </c>
      <c r="B302" s="10">
        <f t="shared" si="66"/>
        <v>0.11599999999999999</v>
      </c>
      <c r="C302" s="1">
        <v>2</v>
      </c>
      <c r="D302" s="13">
        <f t="shared" si="64"/>
        <v>18.019451193997494</v>
      </c>
      <c r="E302" s="13">
        <f t="shared" si="68"/>
        <v>213.98054880600247</v>
      </c>
      <c r="F302" s="49"/>
      <c r="G302" s="40"/>
      <c r="H302" s="40"/>
      <c r="I302" s="40"/>
      <c r="J302" s="40"/>
      <c r="K302" s="40"/>
      <c r="L302" s="40"/>
    </row>
    <row r="303" spans="1:12" x14ac:dyDescent="0.4">
      <c r="A303" s="1">
        <v>25</v>
      </c>
      <c r="B303" s="10">
        <f t="shared" si="66"/>
        <v>0.14499999999999999</v>
      </c>
      <c r="C303" s="1">
        <v>2</v>
      </c>
      <c r="D303" s="13">
        <f t="shared" si="64"/>
        <v>18.019451193997494</v>
      </c>
      <c r="E303" s="13">
        <f t="shared" si="68"/>
        <v>271.9805488060025</v>
      </c>
      <c r="F303" s="40"/>
      <c r="G303" s="40"/>
      <c r="H303" s="40"/>
      <c r="I303" s="40"/>
      <c r="J303" s="40"/>
      <c r="K303" s="40"/>
      <c r="L303" s="40"/>
    </row>
    <row r="304" spans="1:12" x14ac:dyDescent="0.4">
      <c r="A304" s="40"/>
      <c r="B304" s="45"/>
      <c r="C304" s="40"/>
      <c r="D304" s="48"/>
      <c r="E304" s="48"/>
      <c r="F304" s="40"/>
      <c r="G304" s="40"/>
      <c r="H304" s="40"/>
      <c r="I304" s="40"/>
      <c r="J304" s="40"/>
      <c r="K304" s="40"/>
      <c r="L304" s="40"/>
    </row>
    <row r="305" spans="1:12" x14ac:dyDescent="0.4">
      <c r="A305" s="40" t="s">
        <v>36</v>
      </c>
      <c r="B305" s="40"/>
      <c r="C305" s="40"/>
      <c r="D305" s="48"/>
      <c r="E305" s="48"/>
      <c r="F305" s="40"/>
      <c r="G305" s="40"/>
      <c r="H305" s="40"/>
      <c r="I305" s="40"/>
      <c r="J305" s="40"/>
      <c r="K305" s="40"/>
      <c r="L305" s="40"/>
    </row>
    <row r="306" spans="1:12" x14ac:dyDescent="0.4">
      <c r="A306" s="11">
        <f>B306*100/$B$288</f>
        <v>8.0189182063790962</v>
      </c>
      <c r="B306" s="10">
        <f>(E306+D306)/(C306*1000)</f>
        <v>4.6509725596998751E-2</v>
      </c>
      <c r="C306" s="1">
        <v>2</v>
      </c>
      <c r="D306" s="13">
        <f>$H$284*C306*1000</f>
        <v>18.019451193997494</v>
      </c>
      <c r="E306" s="1">
        <v>75</v>
      </c>
      <c r="F306" s="40"/>
      <c r="G306" s="40"/>
      <c r="H306" s="40"/>
      <c r="I306" s="40"/>
      <c r="J306" s="40"/>
      <c r="K306" s="40"/>
      <c r="L306" s="40"/>
    </row>
    <row r="307" spans="1:12" x14ac:dyDescent="0.4">
      <c r="A307" s="11">
        <f t="shared" ref="A307:A309" si="69">B307*100/$B$288</f>
        <v>14.053400964999787</v>
      </c>
      <c r="B307" s="10">
        <f>(E307+D307)/(C307*1000)</f>
        <v>8.1509725596998747E-2</v>
      </c>
      <c r="C307" s="1">
        <v>2</v>
      </c>
      <c r="D307" s="13">
        <f>$H$284*C307*1000</f>
        <v>18.019451193997494</v>
      </c>
      <c r="E307" s="1">
        <v>145</v>
      </c>
      <c r="F307" s="40"/>
      <c r="G307" s="40"/>
      <c r="H307" s="40"/>
      <c r="I307" s="40"/>
      <c r="J307" s="40"/>
      <c r="K307" s="40"/>
      <c r="L307" s="40"/>
    </row>
    <row r="308" spans="1:12" x14ac:dyDescent="0.4">
      <c r="A308" s="11">
        <f t="shared" si="69"/>
        <v>4.1396078615515082</v>
      </c>
      <c r="B308" s="10">
        <f t="shared" ref="B308:B309" si="70">(E308+D308)/(C308*1000)</f>
        <v>2.4009725596998748E-2</v>
      </c>
      <c r="C308" s="1">
        <v>2</v>
      </c>
      <c r="D308" s="13">
        <f>$H$284*C308*1000</f>
        <v>18.019451193997494</v>
      </c>
      <c r="E308" s="13">
        <v>30</v>
      </c>
      <c r="F308" s="40"/>
      <c r="G308" s="40"/>
      <c r="H308" s="40"/>
      <c r="I308" s="40"/>
      <c r="J308" s="40"/>
      <c r="K308" s="40"/>
      <c r="L308" s="40"/>
    </row>
    <row r="309" spans="1:12" x14ac:dyDescent="0.4">
      <c r="A309" s="11">
        <f t="shared" si="69"/>
        <v>7.5878837236204753</v>
      </c>
      <c r="B309" s="10">
        <f t="shared" si="70"/>
        <v>4.4009725596998749E-2</v>
      </c>
      <c r="C309" s="1">
        <v>2</v>
      </c>
      <c r="D309" s="13">
        <f>$H$284*C309*1000</f>
        <v>18.019451193997494</v>
      </c>
      <c r="E309" s="13">
        <v>70</v>
      </c>
      <c r="F309" s="40"/>
      <c r="G309" s="40"/>
      <c r="H309" s="40"/>
      <c r="I309" s="40"/>
      <c r="J309" s="40"/>
      <c r="K309" s="40"/>
      <c r="L309" s="40"/>
    </row>
    <row r="312" spans="1:12" x14ac:dyDescent="0.4">
      <c r="A312" s="41" t="s">
        <v>47</v>
      </c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</row>
    <row r="313" spans="1:12" x14ac:dyDescent="0.4">
      <c r="A313" s="122" t="s">
        <v>47</v>
      </c>
      <c r="B313" s="122"/>
    </row>
    <row r="314" spans="1:12" x14ac:dyDescent="0.4">
      <c r="A314" s="65"/>
      <c r="B314" s="89" t="s">
        <v>1</v>
      </c>
      <c r="C314" s="79" t="s">
        <v>2</v>
      </c>
    </row>
    <row r="315" spans="1:12" x14ac:dyDescent="0.4">
      <c r="A315" s="70" t="s">
        <v>3</v>
      </c>
      <c r="B315" s="74">
        <v>1.3140000000000001</v>
      </c>
      <c r="C315" s="1">
        <f>G331*B315</f>
        <v>1.2980779325255163</v>
      </c>
    </row>
    <row r="316" spans="1:12" x14ac:dyDescent="0.4">
      <c r="A316" s="70" t="s">
        <v>4</v>
      </c>
      <c r="B316" s="74">
        <v>2.3460000000000001</v>
      </c>
      <c r="C316" s="12">
        <f>B316</f>
        <v>2.3460000000000001</v>
      </c>
    </row>
    <row r="317" spans="1:12" x14ac:dyDescent="0.4">
      <c r="A317" s="71" t="s">
        <v>5</v>
      </c>
      <c r="B317" s="80">
        <f>(100-(B315/B316)*100)</f>
        <v>43.989769820971873</v>
      </c>
      <c r="C317" s="80">
        <f>(100-(C315/C316)*100)</f>
        <v>44.668459824146787</v>
      </c>
    </row>
    <row r="318" spans="1:12" x14ac:dyDescent="0.4">
      <c r="A318" s="71" t="s">
        <v>6</v>
      </c>
      <c r="B318" s="35">
        <f>$H$330</f>
        <v>1.2267139274407436E-2</v>
      </c>
      <c r="C318" s="7"/>
    </row>
    <row r="319" spans="1:12" x14ac:dyDescent="0.4">
      <c r="A319" s="71" t="s">
        <v>7</v>
      </c>
      <c r="B319" s="35">
        <f>$I$330</f>
        <v>3.5648649740811891</v>
      </c>
      <c r="C319" s="7"/>
    </row>
    <row r="320" spans="1:12" ht="32" x14ac:dyDescent="0.4">
      <c r="A320" s="72" t="s">
        <v>8</v>
      </c>
      <c r="B320" s="24" t="s">
        <v>123</v>
      </c>
    </row>
    <row r="321" spans="1:12" x14ac:dyDescent="0.4">
      <c r="A321" s="70" t="s">
        <v>9</v>
      </c>
      <c r="B321" s="25" t="s">
        <v>122</v>
      </c>
    </row>
    <row r="322" spans="1:12" x14ac:dyDescent="0.4">
      <c r="A322" s="70" t="s">
        <v>11</v>
      </c>
      <c r="B322" s="25"/>
    </row>
    <row r="323" spans="1:12" x14ac:dyDescent="0.4">
      <c r="A323" s="70" t="s">
        <v>12</v>
      </c>
      <c r="B323" s="32">
        <f>$L$330</f>
        <v>3.7130560686333487</v>
      </c>
    </row>
    <row r="324" spans="1:12" x14ac:dyDescent="0.4">
      <c r="A324" s="70" t="s">
        <v>13</v>
      </c>
      <c r="B324" s="9">
        <f>0.58*B323</f>
        <v>2.1535725198073421</v>
      </c>
    </row>
    <row r="325" spans="1:12" x14ac:dyDescent="0.4">
      <c r="A325" s="77"/>
      <c r="B325" s="37"/>
    </row>
    <row r="326" spans="1:12" x14ac:dyDescent="0.4">
      <c r="A326" s="43" t="s">
        <v>14</v>
      </c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</row>
    <row r="327" spans="1:12" s="5" customFormat="1" ht="64" x14ac:dyDescent="0.4">
      <c r="A327" s="23" t="s">
        <v>15</v>
      </c>
      <c r="B327" s="23" t="s">
        <v>16</v>
      </c>
      <c r="C327" s="23" t="s">
        <v>17</v>
      </c>
      <c r="D327" s="23" t="s">
        <v>18</v>
      </c>
      <c r="E327" s="23" t="s">
        <v>19</v>
      </c>
      <c r="F327" s="23" t="s">
        <v>20</v>
      </c>
      <c r="G327" s="23" t="s">
        <v>21</v>
      </c>
      <c r="H327" s="23" t="s">
        <v>22</v>
      </c>
      <c r="I327" s="23" t="s">
        <v>23</v>
      </c>
      <c r="J327" s="23" t="s">
        <v>24</v>
      </c>
      <c r="K327" s="23" t="s">
        <v>25</v>
      </c>
      <c r="L327" s="23" t="s">
        <v>12</v>
      </c>
    </row>
    <row r="328" spans="1:12" x14ac:dyDescent="0.4">
      <c r="A328" s="87">
        <v>2</v>
      </c>
      <c r="B328" s="22">
        <v>10.868399999999999</v>
      </c>
      <c r="C328" s="22">
        <v>11.8506</v>
      </c>
      <c r="D328" s="87">
        <f t="shared" ref="D328:D329" si="71">C328-B328</f>
        <v>0.98220000000000063</v>
      </c>
      <c r="E328" s="22">
        <v>11.8386</v>
      </c>
      <c r="F328" s="87">
        <f t="shared" ref="F328:F329" si="72">C328-E328</f>
        <v>1.2000000000000455E-2</v>
      </c>
      <c r="G328" s="22">
        <f>D328-F328</f>
        <v>0.97020000000000017</v>
      </c>
      <c r="H328" s="82">
        <f>F328/G328</f>
        <v>1.2368583797155693E-2</v>
      </c>
      <c r="I328" s="51">
        <f>100*H328*$C$315/(0.01*$C$317)</f>
        <v>3.5943450360473972</v>
      </c>
      <c r="J328" s="22">
        <v>11.804399999999999</v>
      </c>
      <c r="K328" s="22">
        <f>E328-J328</f>
        <v>3.420000000000023E-2</v>
      </c>
      <c r="L328" s="51">
        <f>100*K328/G328</f>
        <v>3.5250463821892626</v>
      </c>
    </row>
    <row r="329" spans="1:12" x14ac:dyDescent="0.4">
      <c r="A329" s="87">
        <v>3</v>
      </c>
      <c r="B329" s="22">
        <v>10.2469</v>
      </c>
      <c r="C329" s="22">
        <v>11.2536</v>
      </c>
      <c r="D329" s="87">
        <f t="shared" si="71"/>
        <v>1.0067000000000004</v>
      </c>
      <c r="E329" s="22">
        <v>11.2415</v>
      </c>
      <c r="F329" s="87">
        <f t="shared" si="72"/>
        <v>1.2100000000000222E-2</v>
      </c>
      <c r="G329" s="22">
        <f>D329-F329</f>
        <v>0.99460000000000015</v>
      </c>
      <c r="H329" s="82">
        <f>F329/G329</f>
        <v>1.2165694751659179E-2</v>
      </c>
      <c r="I329" s="51">
        <f>100*H329*$C$315/(0.01*$C$317)</f>
        <v>3.5353849121149805</v>
      </c>
      <c r="J329" s="22">
        <v>11.2027</v>
      </c>
      <c r="K329" s="22">
        <f>E329-J329</f>
        <v>3.8800000000000168E-2</v>
      </c>
      <c r="L329" s="51">
        <f>100*K329/G329</f>
        <v>3.9010657550774344</v>
      </c>
    </row>
    <row r="330" spans="1:12" x14ac:dyDescent="0.4">
      <c r="A330" s="88" t="s">
        <v>38</v>
      </c>
      <c r="B330" s="87"/>
      <c r="C330" s="87"/>
      <c r="D330" s="85">
        <f>AVERAGE(D328:D329)</f>
        <v>0.9944500000000005</v>
      </c>
      <c r="E330" s="87"/>
      <c r="F330" s="87"/>
      <c r="G330" s="85">
        <f>AVERAGE(G328:G329)</f>
        <v>0.98240000000000016</v>
      </c>
      <c r="H330" s="85">
        <f>AVERAGE(H328:H329)</f>
        <v>1.2267139274407436E-2</v>
      </c>
      <c r="I330" s="86">
        <f>AVERAGE(I328:I329)</f>
        <v>3.5648649740811891</v>
      </c>
      <c r="J330" s="87"/>
      <c r="K330" s="22"/>
      <c r="L330" s="86">
        <f>AVERAGE(L328:L329)</f>
        <v>3.7130560686333487</v>
      </c>
    </row>
    <row r="331" spans="1:12" x14ac:dyDescent="0.4">
      <c r="A331" s="88"/>
      <c r="B331" s="87"/>
      <c r="C331" s="87"/>
      <c r="D331" s="87"/>
      <c r="E331" s="87"/>
      <c r="F331" s="22" t="s">
        <v>27</v>
      </c>
      <c r="G331" s="85">
        <f>G330/D330</f>
        <v>0.98788274925838371</v>
      </c>
      <c r="H331" s="86"/>
      <c r="I331" s="87"/>
      <c r="J331" s="22"/>
      <c r="K331" s="52"/>
      <c r="L331" s="86"/>
    </row>
    <row r="332" spans="1:12" x14ac:dyDescent="0.4">
      <c r="A332" s="40"/>
      <c r="B332" s="45"/>
      <c r="C332" s="40"/>
      <c r="D332" s="40"/>
      <c r="E332" s="40"/>
      <c r="F332" s="40"/>
      <c r="G332" s="40"/>
      <c r="H332" s="40"/>
      <c r="I332" s="40"/>
      <c r="J332" s="40"/>
      <c r="K332" s="40"/>
      <c r="L332" s="40"/>
    </row>
    <row r="333" spans="1:12" x14ac:dyDescent="0.4">
      <c r="A333" s="43" t="s">
        <v>28</v>
      </c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</row>
    <row r="334" spans="1:12" x14ac:dyDescent="0.4">
      <c r="A334" s="40" t="s">
        <v>5</v>
      </c>
      <c r="B334" s="46">
        <v>0.56000000000000005</v>
      </c>
      <c r="C334" s="40"/>
      <c r="D334" s="40"/>
      <c r="E334" s="40"/>
      <c r="F334" s="40"/>
      <c r="G334" s="40"/>
      <c r="H334" s="40"/>
      <c r="I334" s="40"/>
      <c r="J334" s="40"/>
      <c r="K334" s="40"/>
      <c r="L334" s="40"/>
    </row>
    <row r="335" spans="1:12" x14ac:dyDescent="0.4">
      <c r="A335" s="40" t="s">
        <v>29</v>
      </c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</row>
    <row r="336" spans="1:12" x14ac:dyDescent="0.4">
      <c r="A336" s="40"/>
      <c r="B336" s="45"/>
      <c r="C336" s="40"/>
      <c r="D336" s="40"/>
      <c r="E336" s="40"/>
      <c r="F336" s="40"/>
      <c r="G336" s="40"/>
      <c r="H336" s="40"/>
      <c r="I336" s="40"/>
      <c r="J336" s="40"/>
      <c r="K336" s="40"/>
      <c r="L336" s="40"/>
    </row>
    <row r="337" spans="1:12" ht="32" x14ac:dyDescent="0.4">
      <c r="A337" s="44" t="s">
        <v>30</v>
      </c>
      <c r="B337" s="47" t="s">
        <v>31</v>
      </c>
      <c r="C337" s="44" t="s">
        <v>32</v>
      </c>
      <c r="D337" s="44" t="s">
        <v>33</v>
      </c>
      <c r="E337" s="44" t="s">
        <v>34</v>
      </c>
      <c r="F337" s="44" t="s">
        <v>35</v>
      </c>
      <c r="G337" s="44"/>
      <c r="H337" s="44"/>
      <c r="I337" s="44"/>
      <c r="J337" s="44"/>
      <c r="K337" s="44"/>
      <c r="L337" s="44"/>
    </row>
    <row r="338" spans="1:12" x14ac:dyDescent="0.4">
      <c r="A338" s="44">
        <v>3</v>
      </c>
      <c r="B338" s="10">
        <f>A338*$B$334*0.01</f>
        <v>1.6800000000000002E-2</v>
      </c>
      <c r="C338" s="1">
        <v>2</v>
      </c>
      <c r="D338" s="13">
        <f t="shared" ref="D338:D348" si="73">$H$330*C338*1000</f>
        <v>24.534278548814871</v>
      </c>
      <c r="E338" s="13">
        <f t="shared" ref="E338:E348" si="74">B338*C338*1000-D338</f>
        <v>9.0657214511851301</v>
      </c>
      <c r="F338" s="44"/>
      <c r="G338" s="44"/>
      <c r="H338" s="44"/>
      <c r="I338" s="44"/>
      <c r="J338" s="44"/>
      <c r="K338" s="44"/>
      <c r="L338" s="44"/>
    </row>
    <row r="339" spans="1:12" x14ac:dyDescent="0.4">
      <c r="A339" s="44">
        <v>4</v>
      </c>
      <c r="B339" s="10">
        <f t="shared" ref="B339:B348" si="75">A339*$B$334*0.01</f>
        <v>2.2400000000000003E-2</v>
      </c>
      <c r="C339" s="1">
        <v>2</v>
      </c>
      <c r="D339" s="13">
        <f t="shared" si="73"/>
        <v>24.534278548814871</v>
      </c>
      <c r="E339" s="13">
        <f t="shared" si="74"/>
        <v>20.265721451185133</v>
      </c>
      <c r="F339" s="44"/>
      <c r="G339" s="44"/>
      <c r="H339" s="44"/>
      <c r="I339" s="44"/>
      <c r="J339" s="44"/>
      <c r="K339" s="44"/>
      <c r="L339" s="44"/>
    </row>
    <row r="340" spans="1:12" x14ac:dyDescent="0.4">
      <c r="A340" s="44">
        <v>5</v>
      </c>
      <c r="B340" s="10">
        <f t="shared" si="75"/>
        <v>2.8000000000000004E-2</v>
      </c>
      <c r="C340" s="1">
        <v>2</v>
      </c>
      <c r="D340" s="13">
        <f t="shared" si="73"/>
        <v>24.534278548814871</v>
      </c>
      <c r="E340" s="13">
        <f t="shared" si="74"/>
        <v>31.465721451185136</v>
      </c>
      <c r="F340" s="44"/>
      <c r="G340" s="44"/>
      <c r="H340" s="44"/>
      <c r="I340" s="44"/>
      <c r="J340" s="44"/>
      <c r="K340" s="44"/>
      <c r="L340" s="44"/>
    </row>
    <row r="341" spans="1:12" x14ac:dyDescent="0.4">
      <c r="A341" s="44">
        <v>6</v>
      </c>
      <c r="B341" s="10">
        <f t="shared" si="75"/>
        <v>3.3600000000000005E-2</v>
      </c>
      <c r="C341" s="1">
        <v>2</v>
      </c>
      <c r="D341" s="13">
        <f t="shared" si="73"/>
        <v>24.534278548814871</v>
      </c>
      <c r="E341" s="13">
        <f t="shared" si="74"/>
        <v>42.665721451185135</v>
      </c>
      <c r="F341" s="44"/>
      <c r="G341" s="44"/>
      <c r="H341" s="44"/>
      <c r="I341" s="44"/>
      <c r="J341" s="44"/>
      <c r="K341" s="44"/>
      <c r="L341" s="44"/>
    </row>
    <row r="342" spans="1:12" x14ac:dyDescent="0.4">
      <c r="A342" s="1">
        <v>7</v>
      </c>
      <c r="B342" s="10">
        <f t="shared" si="75"/>
        <v>3.9200000000000006E-2</v>
      </c>
      <c r="C342" s="1">
        <v>2</v>
      </c>
      <c r="D342" s="13">
        <f t="shared" si="73"/>
        <v>24.534278548814871</v>
      </c>
      <c r="E342" s="13">
        <f t="shared" si="74"/>
        <v>53.865721451185138</v>
      </c>
      <c r="F342" s="44"/>
      <c r="G342" s="44"/>
      <c r="H342" s="44"/>
      <c r="I342" s="44"/>
      <c r="J342" s="44"/>
      <c r="K342" s="44"/>
      <c r="L342" s="44"/>
    </row>
    <row r="343" spans="1:12" x14ac:dyDescent="0.4">
      <c r="A343" s="1">
        <v>8</v>
      </c>
      <c r="B343" s="10">
        <f t="shared" si="75"/>
        <v>4.4800000000000006E-2</v>
      </c>
      <c r="C343" s="1">
        <v>2</v>
      </c>
      <c r="D343" s="13">
        <f t="shared" si="73"/>
        <v>24.534278548814871</v>
      </c>
      <c r="E343" s="13">
        <f t="shared" si="74"/>
        <v>65.065721451185141</v>
      </c>
      <c r="F343" s="49"/>
      <c r="G343" s="40"/>
      <c r="H343" s="40"/>
      <c r="I343" s="40"/>
      <c r="J343" s="40"/>
      <c r="K343" s="40"/>
      <c r="L343" s="40"/>
    </row>
    <row r="344" spans="1:12" x14ac:dyDescent="0.4">
      <c r="A344" s="1">
        <v>9</v>
      </c>
      <c r="B344" s="10">
        <f t="shared" si="75"/>
        <v>5.0400000000000007E-2</v>
      </c>
      <c r="C344" s="1">
        <v>2</v>
      </c>
      <c r="D344" s="13">
        <f t="shared" si="73"/>
        <v>24.534278548814871</v>
      </c>
      <c r="E344" s="13">
        <f t="shared" si="74"/>
        <v>76.265721451185144</v>
      </c>
      <c r="F344" s="49"/>
      <c r="G344" s="40"/>
      <c r="H344" s="40"/>
      <c r="I344" s="40"/>
      <c r="J344" s="40"/>
      <c r="K344" s="40"/>
      <c r="L344" s="40"/>
    </row>
    <row r="345" spans="1:12" x14ac:dyDescent="0.4">
      <c r="A345" s="1">
        <v>10</v>
      </c>
      <c r="B345" s="10">
        <f t="shared" si="75"/>
        <v>5.6000000000000008E-2</v>
      </c>
      <c r="C345" s="1">
        <v>2</v>
      </c>
      <c r="D345" s="13">
        <f t="shared" si="73"/>
        <v>24.534278548814871</v>
      </c>
      <c r="E345" s="13">
        <f t="shared" si="74"/>
        <v>87.465721451185146</v>
      </c>
      <c r="F345" s="49"/>
      <c r="G345" s="40"/>
      <c r="H345" s="40"/>
      <c r="I345" s="40"/>
      <c r="J345" s="40"/>
      <c r="K345" s="40"/>
      <c r="L345" s="40"/>
    </row>
    <row r="346" spans="1:12" x14ac:dyDescent="0.4">
      <c r="A346" s="1">
        <v>15</v>
      </c>
      <c r="B346" s="10">
        <f t="shared" si="75"/>
        <v>8.4000000000000005E-2</v>
      </c>
      <c r="C346" s="1">
        <v>2</v>
      </c>
      <c r="D346" s="13">
        <f t="shared" si="73"/>
        <v>24.534278548814871</v>
      </c>
      <c r="E346" s="13">
        <f t="shared" si="74"/>
        <v>143.46572145118512</v>
      </c>
      <c r="F346" s="49"/>
      <c r="G346" s="40"/>
      <c r="H346" s="40"/>
      <c r="I346" s="40"/>
      <c r="J346" s="40"/>
      <c r="K346" s="40"/>
      <c r="L346" s="40"/>
    </row>
    <row r="347" spans="1:12" x14ac:dyDescent="0.4">
      <c r="A347" s="1">
        <v>20</v>
      </c>
      <c r="B347" s="10">
        <f t="shared" si="75"/>
        <v>0.11200000000000002</v>
      </c>
      <c r="C347" s="1">
        <v>2</v>
      </c>
      <c r="D347" s="13">
        <f t="shared" si="73"/>
        <v>24.534278548814871</v>
      </c>
      <c r="E347" s="13">
        <f t="shared" si="74"/>
        <v>199.46572145118515</v>
      </c>
      <c r="F347" s="49"/>
      <c r="G347" s="40"/>
      <c r="H347" s="40"/>
      <c r="I347" s="40"/>
      <c r="J347" s="40"/>
      <c r="K347" s="40"/>
      <c r="L347" s="40"/>
    </row>
    <row r="348" spans="1:12" x14ac:dyDescent="0.4">
      <c r="A348" s="1">
        <v>25</v>
      </c>
      <c r="B348" s="10">
        <f t="shared" si="75"/>
        <v>0.14000000000000001</v>
      </c>
      <c r="C348" s="1">
        <v>2</v>
      </c>
      <c r="D348" s="13">
        <f t="shared" si="73"/>
        <v>24.534278548814871</v>
      </c>
      <c r="E348" s="13">
        <f t="shared" si="74"/>
        <v>255.46572145118512</v>
      </c>
      <c r="F348" s="40"/>
      <c r="G348" s="40"/>
      <c r="H348" s="40"/>
      <c r="I348" s="40"/>
      <c r="J348" s="40"/>
      <c r="K348" s="40"/>
      <c r="L348" s="40"/>
    </row>
    <row r="349" spans="1:12" x14ac:dyDescent="0.4">
      <c r="A349" s="40"/>
      <c r="B349" s="45"/>
      <c r="C349" s="40"/>
      <c r="D349" s="48"/>
      <c r="E349" s="48"/>
      <c r="F349" s="40"/>
      <c r="G349" s="40"/>
      <c r="H349" s="40"/>
      <c r="I349" s="40"/>
      <c r="J349" s="40"/>
      <c r="K349" s="40"/>
      <c r="L349" s="40"/>
    </row>
    <row r="350" spans="1:12" x14ac:dyDescent="0.4">
      <c r="A350" s="40" t="s">
        <v>36</v>
      </c>
      <c r="B350" s="40"/>
      <c r="C350" s="40"/>
      <c r="D350" s="48"/>
      <c r="E350" s="48"/>
      <c r="F350" s="40"/>
      <c r="G350" s="40"/>
      <c r="H350" s="40"/>
      <c r="I350" s="40"/>
      <c r="J350" s="40"/>
      <c r="K350" s="40"/>
      <c r="L350" s="40"/>
    </row>
    <row r="351" spans="1:12" x14ac:dyDescent="0.4">
      <c r="A351" s="11">
        <f>B351*100/$B$334</f>
        <v>8.8869891561441854</v>
      </c>
      <c r="B351" s="10">
        <f>(E351+D351)/(C351*1000)</f>
        <v>4.9767139274407436E-2</v>
      </c>
      <c r="C351" s="1">
        <v>2</v>
      </c>
      <c r="D351" s="13">
        <f>$H$330*C351*1000</f>
        <v>24.534278548814871</v>
      </c>
      <c r="E351" s="1">
        <v>75</v>
      </c>
      <c r="F351" s="40"/>
      <c r="G351" s="40"/>
      <c r="H351" s="40"/>
      <c r="I351" s="40"/>
      <c r="J351" s="40"/>
      <c r="K351" s="40"/>
      <c r="L351" s="40"/>
    </row>
    <row r="352" spans="1:12" x14ac:dyDescent="0.4">
      <c r="A352" s="11">
        <f t="shared" ref="A352:A354" si="76">B352*100/$B$334</f>
        <v>15.136989156144185</v>
      </c>
      <c r="B352" s="10">
        <f>(E352+D352)/(C352*1000)</f>
        <v>8.4767139274407446E-2</v>
      </c>
      <c r="C352" s="1">
        <v>2</v>
      </c>
      <c r="D352" s="13">
        <f>$H$330*C352*1000</f>
        <v>24.534278548814871</v>
      </c>
      <c r="E352" s="1">
        <v>145</v>
      </c>
      <c r="F352" s="40"/>
      <c r="G352" s="40"/>
      <c r="H352" s="40"/>
      <c r="I352" s="40"/>
      <c r="J352" s="40"/>
      <c r="K352" s="40"/>
      <c r="L352" s="40"/>
    </row>
    <row r="353" spans="1:12" x14ac:dyDescent="0.4">
      <c r="A353" s="11">
        <f t="shared" si="76"/>
        <v>4.8691320132870413</v>
      </c>
      <c r="B353" s="10">
        <f t="shared" ref="B353:B354" si="77">(E353+D353)/(C353*1000)</f>
        <v>2.7267139274407434E-2</v>
      </c>
      <c r="C353" s="1">
        <v>2</v>
      </c>
      <c r="D353" s="13">
        <f>$H$330*C353*1000</f>
        <v>24.534278548814871</v>
      </c>
      <c r="E353" s="13">
        <v>30</v>
      </c>
      <c r="F353" s="40"/>
      <c r="G353" s="40"/>
      <c r="H353" s="40"/>
      <c r="I353" s="40"/>
      <c r="J353" s="40"/>
      <c r="K353" s="40"/>
      <c r="L353" s="40"/>
    </row>
    <row r="354" spans="1:12" x14ac:dyDescent="0.4">
      <c r="A354" s="11">
        <f t="shared" si="76"/>
        <v>8.4405605847156124</v>
      </c>
      <c r="B354" s="10">
        <f t="shared" si="77"/>
        <v>4.7267139274407434E-2</v>
      </c>
      <c r="C354" s="1">
        <v>2</v>
      </c>
      <c r="D354" s="13">
        <f>$H$330*C354*1000</f>
        <v>24.534278548814871</v>
      </c>
      <c r="E354" s="13">
        <v>70</v>
      </c>
      <c r="F354" s="40"/>
      <c r="G354" s="40"/>
      <c r="H354" s="40"/>
      <c r="I354" s="40"/>
      <c r="J354" s="40"/>
      <c r="K354" s="40"/>
      <c r="L354" s="40"/>
    </row>
  </sheetData>
  <mergeCells count="8">
    <mergeCell ref="A266:B266"/>
    <mergeCell ref="A313:B313"/>
    <mergeCell ref="A176:B176"/>
    <mergeCell ref="A1:B1"/>
    <mergeCell ref="A48:B48"/>
    <mergeCell ref="A91:B91"/>
    <mergeCell ref="A133:B133"/>
    <mergeCell ref="A219:B219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6BD23-E74A-4544-8DA6-40205D2A4F15}">
  <dimension ref="A1:W325"/>
  <sheetViews>
    <sheetView zoomScale="66" zoomScaleNormal="150" workbookViewId="0">
      <pane xSplit="1" ySplit="1" topLeftCell="B294" activePane="bottomRight" state="frozen"/>
      <selection pane="topRight" activeCell="B1" sqref="B1"/>
      <selection pane="bottomLeft" activeCell="A12" sqref="A12"/>
      <selection pane="bottomRight" activeCell="B304" sqref="B304"/>
    </sheetView>
  </sheetViews>
  <sheetFormatPr defaultColWidth="11" defaultRowHeight="16" x14ac:dyDescent="0.4"/>
  <cols>
    <col min="2" max="2" width="11" customWidth="1"/>
    <col min="9" max="10" width="10.83203125" style="28"/>
    <col min="15" max="15" width="13.33203125" customWidth="1"/>
    <col min="20" max="20" width="16.83203125" customWidth="1"/>
    <col min="22" max="23" width="14.6640625" customWidth="1"/>
  </cols>
  <sheetData>
    <row r="1" spans="1:23" s="18" customFormat="1" ht="32" x14ac:dyDescent="0.4">
      <c r="A1" s="17" t="s">
        <v>66</v>
      </c>
      <c r="B1" s="18" t="s">
        <v>67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72</v>
      </c>
      <c r="H1" s="18" t="s">
        <v>54</v>
      </c>
      <c r="I1" s="29" t="s">
        <v>73</v>
      </c>
      <c r="J1" s="29" t="s">
        <v>74</v>
      </c>
      <c r="K1" s="18" t="s">
        <v>75</v>
      </c>
      <c r="L1" s="58" t="s">
        <v>76</v>
      </c>
      <c r="M1" s="59" t="s">
        <v>77</v>
      </c>
      <c r="N1" s="18" t="s">
        <v>78</v>
      </c>
      <c r="O1" s="18" t="s">
        <v>79</v>
      </c>
      <c r="Q1" s="18" t="s">
        <v>80</v>
      </c>
      <c r="S1" s="18" t="s">
        <v>81</v>
      </c>
      <c r="T1" s="18" t="s">
        <v>82</v>
      </c>
      <c r="V1" s="18" t="s">
        <v>128</v>
      </c>
      <c r="W1" s="18" t="s">
        <v>83</v>
      </c>
    </row>
    <row r="2" spans="1:23" s="16" customFormat="1" x14ac:dyDescent="0.4">
      <c r="A2" s="16" t="s">
        <v>49</v>
      </c>
      <c r="I2" s="27"/>
      <c r="J2" s="27"/>
    </row>
    <row r="3" spans="1:23" s="20" customFormat="1" x14ac:dyDescent="0.4">
      <c r="A3" s="19" t="s">
        <v>153</v>
      </c>
      <c r="E3" s="64"/>
      <c r="I3" s="30"/>
      <c r="J3" s="30"/>
      <c r="L3" s="30"/>
      <c r="M3" s="60"/>
      <c r="V3" s="20" t="s">
        <v>130</v>
      </c>
      <c r="W3" s="20" t="s">
        <v>129</v>
      </c>
    </row>
    <row r="4" spans="1:23" x14ac:dyDescent="0.4">
      <c r="A4" s="26"/>
      <c r="B4" s="26">
        <v>9.166666666666666E-2</v>
      </c>
      <c r="C4" s="55">
        <f>HOUR(B4)*60+MINUTE(B4)</f>
        <v>132</v>
      </c>
      <c r="D4">
        <v>0</v>
      </c>
      <c r="E4" s="56" cm="1">
        <f t="array" aca="1" ref="E4" ca="1">C4-INDIRECT("C" &amp; (ROW(D4) - D4))</f>
        <v>0</v>
      </c>
      <c r="G4">
        <v>2</v>
      </c>
      <c r="H4">
        <v>276315</v>
      </c>
      <c r="I4" s="28">
        <f>H4/506515</f>
        <v>0.54552185029071198</v>
      </c>
      <c r="J4" s="61">
        <f t="shared" ref="J4:J13" si="0">(I4*240-$C$325*2)/238</f>
        <v>0.54525532868586946</v>
      </c>
      <c r="L4" s="28">
        <f>LN(J4)</f>
        <v>-0.60650110102588017</v>
      </c>
      <c r="M4" s="57">
        <f ca="1">SLOPE(L4:L13, E4:E13)</f>
        <v>-7.0754474246073496E-3</v>
      </c>
      <c r="N4" s="28" cm="1">
        <f t="array" aca="1" ref="N4" ca="1">L4-INDIRECT("L" &amp; (ROW(L4)-D4))</f>
        <v>0</v>
      </c>
      <c r="O4" s="57" cm="1">
        <f t="array" aca="1" ref="O4:P8" ca="1">LINEST(_xlfn._xlws.FILTER(N4:N15,NOT(ISBLANK(N4:N15))),_xlfn._xlws.FILTER(E4:E15,NOT(ISBLANK(E4:E15))), FALSE, TRUE)</f>
        <v>-7.5743018744391152E-3</v>
      </c>
      <c r="P4" s="57">
        <f ca="1"/>
        <v>0</v>
      </c>
      <c r="Q4" s="57" cm="1">
        <f t="array" aca="1" ref="Q4:R8" ca="1">LINEST(_xlfn._xlws.FILTER(N4:N15, NOT(ISBLANK(N4:N15))),_xlfn._xlws.FILTER(E4:E15, NOT(ISBLANK(E4:E15))), TRUE, TRUE)</f>
        <v>-7.0754474246073479E-3</v>
      </c>
      <c r="R4" s="57">
        <f ca="1"/>
        <v>-7.9728170707095369E-2</v>
      </c>
      <c r="S4">
        <f ca="1">ABS(O4)</f>
        <v>7.5743018744391152E-3</v>
      </c>
      <c r="T4" cm="1">
        <f t="array" aca="1" ref="T4:U8" ca="1">LINEST(_xlfn._xlws.FILTER(N4:N8, NOT(ISBLANK(N4:N8))),_xlfn._xlws.FILTER(E4:E8, NOT(ISBLANK(E4:E8))), TRUE, TRUE)</f>
        <v>-7.6919766749441012E-3</v>
      </c>
      <c r="U4">
        <f ca="1"/>
        <v>-4.1394630958920514E-2</v>
      </c>
      <c r="V4">
        <f ca="1">S4/(2*'characterization &amp; setup'!$B$12/100)</f>
        <v>0.10912330767236575</v>
      </c>
      <c r="W4">
        <f ca="1">ABS(T4)/(2*'characterization &amp; setup'!$B$12/100)</f>
        <v>0.11081865381431506</v>
      </c>
    </row>
    <row r="5" spans="1:23" x14ac:dyDescent="0.4">
      <c r="A5" s="26"/>
      <c r="B5" s="26">
        <v>9.7916666666666666E-2</v>
      </c>
      <c r="C5" s="55">
        <f t="shared" ref="C5:C13" si="1">HOUR(B5)*60+MINUTE(B5)</f>
        <v>141</v>
      </c>
      <c r="D5">
        <v>1</v>
      </c>
      <c r="E5" s="56" cm="1">
        <f t="array" aca="1" ref="E5" ca="1">C5-INDIRECT("C" &amp; (ROW(D5) - D5))</f>
        <v>9</v>
      </c>
      <c r="G5">
        <v>2</v>
      </c>
      <c r="H5">
        <v>221635</v>
      </c>
      <c r="I5" s="28">
        <f t="shared" ref="I5:I13" si="2">H5/506515</f>
        <v>0.43756848267079951</v>
      </c>
      <c r="J5" s="28">
        <f t="shared" si="0"/>
        <v>0.43639478990948705</v>
      </c>
      <c r="L5" s="28">
        <f t="shared" ref="L5:L13" si="3">LN(J5)</f>
        <v>-0.82920796389034845</v>
      </c>
      <c r="M5" s="57"/>
      <c r="N5" s="28" cm="1">
        <f t="array" aca="1" ref="N5" ca="1">L5-INDIRECT("L" &amp; (ROW(L5)-D5))</f>
        <v>-0.22270686286446828</v>
      </c>
      <c r="O5" s="57">
        <f ca="1"/>
        <v>3.098323559551188E-4</v>
      </c>
      <c r="P5" s="57" t="e">
        <f ca="1"/>
        <v>#N/A</v>
      </c>
      <c r="Q5" s="57">
        <f ca="1"/>
        <v>4.4966026334837555E-4</v>
      </c>
      <c r="R5" s="57">
        <f ca="1"/>
        <v>5.4643621027638457E-2</v>
      </c>
      <c r="T5">
        <f ca="1"/>
        <v>1.6774908034223632E-3</v>
      </c>
      <c r="U5">
        <f ca="1"/>
        <v>5.8472045505638212E-2</v>
      </c>
    </row>
    <row r="6" spans="1:23" x14ac:dyDescent="0.4">
      <c r="A6" s="26"/>
      <c r="B6" s="26">
        <v>0.1076388888888889</v>
      </c>
      <c r="C6" s="55">
        <f t="shared" si="1"/>
        <v>155</v>
      </c>
      <c r="D6">
        <v>2</v>
      </c>
      <c r="E6" s="56" cm="1">
        <f t="array" aca="1" ref="E6" ca="1">C6-INDIRECT("C" &amp; (ROW(D6) - D6))</f>
        <v>23</v>
      </c>
      <c r="F6" t="s">
        <v>84</v>
      </c>
      <c r="G6">
        <v>2</v>
      </c>
      <c r="H6">
        <v>241592</v>
      </c>
      <c r="I6" s="28">
        <f t="shared" si="2"/>
        <v>0.47696909272183452</v>
      </c>
      <c r="J6" s="28">
        <f t="shared" si="0"/>
        <v>0.47612649752397618</v>
      </c>
      <c r="L6" s="28">
        <f t="shared" si="3"/>
        <v>-0.74207170895549568</v>
      </c>
      <c r="M6" s="57"/>
      <c r="N6" s="28" cm="1">
        <f t="array" aca="1" ref="N6" ca="1">L6-INDIRECT("L" &amp; (ROW(L6)-D6))</f>
        <v>-0.13557060792961551</v>
      </c>
      <c r="O6" s="57">
        <f ca="1"/>
        <v>0.98516391461776942</v>
      </c>
      <c r="P6" s="57">
        <f ca="1"/>
        <v>0.11906434566712817</v>
      </c>
      <c r="Q6" s="57">
        <f ca="1"/>
        <v>0.9687002685253876</v>
      </c>
      <c r="R6" s="57">
        <f ca="1"/>
        <v>0.1122336163798857</v>
      </c>
      <c r="T6">
        <f ca="1"/>
        <v>0.87513500879165951</v>
      </c>
      <c r="U6">
        <f ca="1"/>
        <v>8.4496262483210433E-2</v>
      </c>
    </row>
    <row r="7" spans="1:23" x14ac:dyDescent="0.4">
      <c r="A7" s="26"/>
      <c r="B7" s="26">
        <v>0.11736111111111111</v>
      </c>
      <c r="C7" s="55">
        <f t="shared" si="1"/>
        <v>169</v>
      </c>
      <c r="D7">
        <v>3</v>
      </c>
      <c r="E7" s="56" cm="1">
        <f t="array" aca="1" ref="E7" ca="1">C7-INDIRECT("C" &amp; (ROW(D7) - D7))</f>
        <v>37</v>
      </c>
      <c r="G7">
        <v>2</v>
      </c>
      <c r="H7">
        <v>201027</v>
      </c>
      <c r="I7" s="28">
        <f t="shared" si="2"/>
        <v>0.3968826194683277</v>
      </c>
      <c r="J7" s="28">
        <f t="shared" si="0"/>
        <v>0.39536702869691048</v>
      </c>
      <c r="L7" s="28">
        <f t="shared" si="3"/>
        <v>-0.92794075893317352</v>
      </c>
      <c r="M7" s="57"/>
      <c r="N7" s="28" cm="1">
        <f t="array" aca="1" ref="N7" ca="1">L7-INDIRECT("L" &amp; (ROW(L7)-D7))</f>
        <v>-0.32143965790729334</v>
      </c>
      <c r="O7" s="57">
        <f ca="1"/>
        <v>597.6290243098365</v>
      </c>
      <c r="P7" s="57">
        <f ca="1"/>
        <v>9</v>
      </c>
      <c r="Q7" s="57">
        <f ca="1"/>
        <v>247.59324706951244</v>
      </c>
      <c r="R7" s="57">
        <f ca="1"/>
        <v>8</v>
      </c>
      <c r="T7">
        <f ca="1"/>
        <v>21.025949715516507</v>
      </c>
      <c r="U7">
        <f ca="1"/>
        <v>3</v>
      </c>
    </row>
    <row r="8" spans="1:23" x14ac:dyDescent="0.4">
      <c r="A8" s="26"/>
      <c r="B8" s="26">
        <v>0.1361111111111111</v>
      </c>
      <c r="C8" s="55">
        <f t="shared" si="1"/>
        <v>196</v>
      </c>
      <c r="D8">
        <v>4</v>
      </c>
      <c r="E8" s="56" cm="1">
        <f t="array" aca="1" ref="E8" ca="1">C8-INDIRECT("C" &amp; (ROW(D8) - D8))</f>
        <v>64</v>
      </c>
      <c r="G8">
        <v>2</v>
      </c>
      <c r="H8">
        <v>160405</v>
      </c>
      <c r="I8" s="28">
        <f t="shared" si="2"/>
        <v>0.31668361252875038</v>
      </c>
      <c r="J8" s="28">
        <f t="shared" si="0"/>
        <v>0.31449408052254679</v>
      </c>
      <c r="L8" s="28">
        <f t="shared" si="3"/>
        <v>-1.1567900248866712</v>
      </c>
      <c r="M8" s="57"/>
      <c r="N8" s="28" cm="1">
        <f t="array" aca="1" ref="N8" ca="1">L8-INDIRECT("L" &amp; (ROW(L8)-D8))</f>
        <v>-0.55028892386079098</v>
      </c>
      <c r="O8" s="57">
        <f ca="1"/>
        <v>8.4721793391607392</v>
      </c>
      <c r="P8" s="57">
        <f ca="1"/>
        <v>0.12758686568227245</v>
      </c>
      <c r="Q8" s="57">
        <f ca="1"/>
        <v>3.1187797757672322</v>
      </c>
      <c r="R8" s="57">
        <f ca="1"/>
        <v>0.10077107716565878</v>
      </c>
      <c r="T8">
        <f ca="1"/>
        <v>0.15011725691195563</v>
      </c>
      <c r="U8">
        <f ca="1"/>
        <v>2.1418855120894781E-2</v>
      </c>
    </row>
    <row r="9" spans="1:23" x14ac:dyDescent="0.4">
      <c r="A9" s="26"/>
      <c r="B9" s="26">
        <v>0.15138888888888888</v>
      </c>
      <c r="C9" s="55">
        <f t="shared" si="1"/>
        <v>218</v>
      </c>
      <c r="D9">
        <v>5</v>
      </c>
      <c r="E9" s="56" cm="1">
        <f t="array" aca="1" ref="E9" ca="1">C9-INDIRECT("C" &amp; (ROW(D9) - D9))</f>
        <v>86</v>
      </c>
      <c r="G9">
        <v>2</v>
      </c>
      <c r="H9">
        <v>112837</v>
      </c>
      <c r="I9" s="28">
        <f t="shared" si="2"/>
        <v>0.22277129009012567</v>
      </c>
      <c r="J9" s="28">
        <f t="shared" si="0"/>
        <v>0.21979257890376561</v>
      </c>
      <c r="L9" s="28">
        <f t="shared" si="3"/>
        <v>-1.5150710005317982</v>
      </c>
      <c r="M9" s="57"/>
      <c r="N9" s="28" cm="1">
        <f t="array" aca="1" ref="N9" ca="1">L9-INDIRECT("L" &amp; (ROW(L9)-D9))</f>
        <v>-0.90856989950591804</v>
      </c>
    </row>
    <row r="10" spans="1:23" x14ac:dyDescent="0.4">
      <c r="A10" s="26"/>
      <c r="B10" s="26">
        <v>0.17222222222222222</v>
      </c>
      <c r="C10" s="55">
        <f t="shared" si="1"/>
        <v>248</v>
      </c>
      <c r="D10">
        <v>6</v>
      </c>
      <c r="E10" s="56" cm="1">
        <f t="array" aca="1" ref="E10" ca="1">C10-INDIRECT("C" &amp; (ROW(D10) - D10))</f>
        <v>116</v>
      </c>
      <c r="G10">
        <v>2</v>
      </c>
      <c r="H10">
        <v>107633</v>
      </c>
      <c r="I10" s="28">
        <f t="shared" si="2"/>
        <v>0.21249716197940832</v>
      </c>
      <c r="J10" s="28">
        <f t="shared" si="0"/>
        <v>0.20943211358203381</v>
      </c>
      <c r="L10" s="28">
        <f t="shared" si="3"/>
        <v>-1.5633556323135314</v>
      </c>
      <c r="M10" s="57"/>
      <c r="N10" s="28" cm="1">
        <f t="array" aca="1" ref="N10" ca="1">L10-INDIRECT("L" &amp; (ROW(L10)-D10))</f>
        <v>-0.95685453128765119</v>
      </c>
    </row>
    <row r="11" spans="1:23" x14ac:dyDescent="0.4">
      <c r="A11" s="26"/>
      <c r="B11" s="26">
        <v>0.19375000000000001</v>
      </c>
      <c r="C11" s="55">
        <f t="shared" si="1"/>
        <v>279</v>
      </c>
      <c r="D11">
        <v>7</v>
      </c>
      <c r="E11" s="56" cm="1">
        <f t="array" aca="1" ref="E11" ca="1">C11-INDIRECT("C" &amp; (ROW(D11) - D11))</f>
        <v>147</v>
      </c>
      <c r="G11">
        <v>2</v>
      </c>
      <c r="H11">
        <v>104459</v>
      </c>
      <c r="I11" s="28">
        <f t="shared" si="2"/>
        <v>0.20623081251295619</v>
      </c>
      <c r="J11" s="28">
        <f t="shared" si="0"/>
        <v>0.20311310571670393</v>
      </c>
      <c r="L11" s="28">
        <f t="shared" si="3"/>
        <v>-1.5939922840842435</v>
      </c>
      <c r="N11" s="28" cm="1">
        <f t="array" aca="1" ref="N11" ca="1">L11-INDIRECT("L" &amp; (ROW(L11)-D11))</f>
        <v>-0.98749118305836336</v>
      </c>
    </row>
    <row r="12" spans="1:23" x14ac:dyDescent="0.4">
      <c r="A12" s="26"/>
      <c r="B12" s="26">
        <v>0.22638888888888889</v>
      </c>
      <c r="C12" s="55">
        <f t="shared" si="1"/>
        <v>326</v>
      </c>
      <c r="D12">
        <v>8</v>
      </c>
      <c r="E12" s="56" cm="1">
        <f t="array" aca="1" ref="E12" ca="1">C12-INDIRECT("C" &amp; (ROW(D12) - D12))</f>
        <v>194</v>
      </c>
      <c r="G12">
        <v>2</v>
      </c>
      <c r="H12">
        <v>71365</v>
      </c>
      <c r="I12" s="28">
        <f t="shared" si="2"/>
        <v>0.14089414923546192</v>
      </c>
      <c r="J12" s="28">
        <f t="shared" si="0"/>
        <v>0.13722739484864249</v>
      </c>
      <c r="L12" s="28">
        <f t="shared" si="3"/>
        <v>-1.986115912713462</v>
      </c>
      <c r="N12" s="28" cm="1">
        <f t="array" aca="1" ref="N12" ca="1">L12-INDIRECT("L" &amp; (ROW(L12)-D12))</f>
        <v>-1.3796148116875817</v>
      </c>
    </row>
    <row r="13" spans="1:23" x14ac:dyDescent="0.4">
      <c r="A13" s="26"/>
      <c r="B13" s="26">
        <v>0.2638888888888889</v>
      </c>
      <c r="C13" s="55">
        <f t="shared" si="1"/>
        <v>380</v>
      </c>
      <c r="D13">
        <v>9</v>
      </c>
      <c r="E13" s="56" cm="1">
        <f t="array" aca="1" ref="E13" ca="1">C13-INDIRECT("C" &amp; (ROW(D13) - D13))</f>
        <v>248</v>
      </c>
      <c r="G13">
        <v>2</v>
      </c>
      <c r="H13">
        <v>44544</v>
      </c>
      <c r="I13" s="28">
        <f t="shared" si="2"/>
        <v>8.7942114251305492E-2</v>
      </c>
      <c r="J13" s="28">
        <f t="shared" si="0"/>
        <v>8.383038478058559E-2</v>
      </c>
      <c r="L13" s="28">
        <f t="shared" si="3"/>
        <v>-2.4789597503323408</v>
      </c>
      <c r="N13" s="28" cm="1">
        <f t="array" aca="1" ref="N13" ca="1">L13-INDIRECT("L" &amp; (ROW(L13)-D13))</f>
        <v>-1.8724586493064606</v>
      </c>
    </row>
    <row r="14" spans="1:23" x14ac:dyDescent="0.4">
      <c r="A14" s="26"/>
      <c r="B14" s="26"/>
      <c r="C14" s="55"/>
      <c r="E14" s="56"/>
      <c r="L14" s="28"/>
      <c r="N14" s="28"/>
    </row>
    <row r="15" spans="1:23" x14ac:dyDescent="0.4">
      <c r="E15" s="56"/>
      <c r="N15" s="28"/>
    </row>
    <row r="16" spans="1:23" s="20" customFormat="1" x14ac:dyDescent="0.4">
      <c r="A16" s="19" t="s">
        <v>152</v>
      </c>
      <c r="E16" s="64"/>
      <c r="I16" s="30"/>
      <c r="J16" s="30"/>
    </row>
    <row r="17" spans="1:23" x14ac:dyDescent="0.4">
      <c r="A17" s="26"/>
      <c r="B17" s="26">
        <v>9.3055555555555558E-2</v>
      </c>
      <c r="C17" s="55">
        <f t="shared" ref="C17:C26" si="4">HOUR(B17)*60+MINUTE(B17)</f>
        <v>134</v>
      </c>
      <c r="D17">
        <v>0</v>
      </c>
      <c r="E17" s="56" cm="1">
        <f t="array" aca="1" ref="E17" ca="1">C17-INDIRECT("C" &amp; (ROW(D17) - D17))</f>
        <v>0</v>
      </c>
      <c r="G17">
        <v>0</v>
      </c>
      <c r="H17">
        <v>212143</v>
      </c>
      <c r="I17" s="28">
        <f>H17/506515</f>
        <v>0.41882866252726969</v>
      </c>
      <c r="J17" s="28">
        <f>(I17*240-$C$325*2)/238</f>
        <v>0.41749749228575955</v>
      </c>
      <c r="L17" s="28">
        <f>LN(J17)</f>
        <v>-0.87347674121044072</v>
      </c>
      <c r="M17" s="57">
        <f ca="1">SLOPE(L17:L26, E17:E26)</f>
        <v>-6.9339090786461072E-3</v>
      </c>
      <c r="N17" s="28" cm="1">
        <f t="array" aca="1" ref="N17" ca="1">L17-INDIRECT("L" &amp; (ROW(L17)-D17))</f>
        <v>0</v>
      </c>
      <c r="O17" s="57" cm="1">
        <f t="array" aca="1" ref="O17:P21" ca="1">LINEST(_xlfn._xlws.FILTER(N17:N28,NOT(ISBLANK(N17:N28))),_xlfn._xlws.FILTER(E17:E28,NOT(ISBLANK(E17:E28))), FALSE, TRUE)</f>
        <v>-6.062394844344691E-3</v>
      </c>
      <c r="P17" s="57">
        <f ca="1"/>
        <v>0</v>
      </c>
      <c r="Q17" s="57" cm="1">
        <f t="array" aca="1" ref="Q17:R21" ca="1">LINEST(_xlfn._xlws.FILTER(N17:N28, NOT(ISBLANK(N17:N28))),_xlfn._xlws.FILTER(E17:E28, NOT(ISBLANK(E17:E28))), TRUE, TRUE)</f>
        <v>-6.9339090786461055E-3</v>
      </c>
      <c r="R17" s="57">
        <f ca="1"/>
        <v>0.141391229252952</v>
      </c>
      <c r="S17">
        <f ca="1">ABS(O17)</f>
        <v>6.062394844344691E-3</v>
      </c>
      <c r="T17" cm="1">
        <f t="array" aca="1" ref="T17:U21" ca="1">LINEST(_xlfn._xlws.FILTER(N17:N21, NOT(ISBLANK(N17:N21))),_xlfn._xlws.FILTER(E17:E21, NOT(ISBLANK(E17:E21))), TRUE, TRUE)</f>
        <v>-5.3154391513065245E-3</v>
      </c>
      <c r="U17">
        <f ca="1"/>
        <v>7.391214679126365E-2</v>
      </c>
      <c r="V17">
        <f ca="1">S17/(2*'characterization &amp; setup'!$B$12/100)</f>
        <v>8.7341195109123887E-2</v>
      </c>
      <c r="W17">
        <f ca="1">ABS(T17)/(2*'characterization &amp; setup'!$B$12/100)</f>
        <v>7.6579770853761095E-2</v>
      </c>
    </row>
    <row r="18" spans="1:23" x14ac:dyDescent="0.4">
      <c r="A18" s="26"/>
      <c r="B18" s="26">
        <v>9.930555555555555E-2</v>
      </c>
      <c r="C18" s="55">
        <f t="shared" si="4"/>
        <v>143</v>
      </c>
      <c r="D18">
        <v>1</v>
      </c>
      <c r="E18" s="56" cm="1">
        <f t="array" aca="1" ref="E18" ca="1">C18-INDIRECT("C" &amp; (ROW(D18) - D18))</f>
        <v>9</v>
      </c>
      <c r="G18">
        <v>2</v>
      </c>
      <c r="H18">
        <v>234063</v>
      </c>
      <c r="I18" s="28">
        <f t="shared" ref="I18:I26" si="5">H18/506515</f>
        <v>0.46210477478455719</v>
      </c>
      <c r="J18" s="28">
        <f>(I18*240-$C$325*2)/238</f>
        <v>0.46113726935193178</v>
      </c>
      <c r="L18" s="28">
        <f>LN(J18)</f>
        <v>-0.77405951598759237</v>
      </c>
      <c r="M18" s="57"/>
      <c r="N18" s="28" cm="1">
        <f t="array" aca="1" ref="N18" ca="1">L18-INDIRECT("L" &amp; (ROW(L18)-D18))</f>
        <v>9.9417225222848349E-2</v>
      </c>
      <c r="O18" s="57">
        <f ca="1"/>
        <v>4.4888013549014056E-4</v>
      </c>
      <c r="P18" s="57" t="e">
        <f ca="1"/>
        <v>#N/A</v>
      </c>
      <c r="Q18" s="57">
        <f ca="1"/>
        <v>6.445620966438727E-4</v>
      </c>
      <c r="R18" s="57">
        <f ca="1"/>
        <v>8.1779270237961041E-2</v>
      </c>
      <c r="T18">
        <f ca="1"/>
        <v>1.580614861279468E-3</v>
      </c>
      <c r="U18">
        <f ca="1"/>
        <v>5.778439126187733E-2</v>
      </c>
    </row>
    <row r="19" spans="1:23" x14ac:dyDescent="0.4">
      <c r="A19" s="26"/>
      <c r="B19" s="26">
        <v>0.10833333333333334</v>
      </c>
      <c r="C19" s="55">
        <f t="shared" si="4"/>
        <v>156</v>
      </c>
      <c r="D19">
        <v>2</v>
      </c>
      <c r="E19" s="56"/>
      <c r="F19" t="s">
        <v>84</v>
      </c>
      <c r="G19">
        <v>2</v>
      </c>
      <c r="L19" s="28"/>
      <c r="M19" s="57"/>
      <c r="N19" s="28"/>
      <c r="O19" s="57">
        <f ca="1"/>
        <v>0.95798345553282727</v>
      </c>
      <c r="P19" s="57">
        <f ca="1"/>
        <v>0.17085595055544942</v>
      </c>
      <c r="Q19" s="57">
        <f ca="1"/>
        <v>0.94296185334866878</v>
      </c>
      <c r="R19" s="57">
        <f ca="1"/>
        <v>0.1529006120055941</v>
      </c>
      <c r="T19">
        <f ca="1"/>
        <v>0.84972633043436918</v>
      </c>
      <c r="U19">
        <f ca="1"/>
        <v>7.7916457282559734E-2</v>
      </c>
    </row>
    <row r="20" spans="1:23" x14ac:dyDescent="0.4">
      <c r="A20" s="26"/>
      <c r="B20" s="26">
        <v>0.11805555555555555</v>
      </c>
      <c r="C20" s="55">
        <f t="shared" si="4"/>
        <v>170</v>
      </c>
      <c r="D20">
        <v>3</v>
      </c>
      <c r="E20" s="56" cm="1">
        <f t="array" aca="1" ref="E20" ca="1">C20-INDIRECT("C" &amp; (ROW(D20) - D20))</f>
        <v>36</v>
      </c>
      <c r="G20">
        <v>2</v>
      </c>
      <c r="H20">
        <v>193774</v>
      </c>
      <c r="I20" s="28">
        <f t="shared" si="5"/>
        <v>0.38256320148465495</v>
      </c>
      <c r="J20" s="28">
        <f t="shared" ref="J20:J26" si="6">(I20*240-$C$325*2)/238</f>
        <v>0.38092727946967747</v>
      </c>
      <c r="L20" s="28">
        <f t="shared" ref="L20:L26" si="7">LN(J20)</f>
        <v>-0.96514678960661682</v>
      </c>
      <c r="M20" s="57"/>
      <c r="N20" s="28" cm="1">
        <f t="array" aca="1" ref="N20" ca="1">L20-INDIRECT("L" &amp; (ROW(L20)-D20))</f>
        <v>-9.1670048396176096E-2</v>
      </c>
      <c r="O20" s="57">
        <f ca="1"/>
        <v>182.40118842353527</v>
      </c>
      <c r="P20" s="57">
        <f ca="1"/>
        <v>8</v>
      </c>
      <c r="Q20" s="57">
        <f ca="1"/>
        <v>115.72488520341199</v>
      </c>
      <c r="R20" s="57">
        <f ca="1"/>
        <v>7</v>
      </c>
      <c r="T20">
        <f ca="1"/>
        <v>11.309051451136055</v>
      </c>
      <c r="U20">
        <f ca="1"/>
        <v>2</v>
      </c>
    </row>
    <row r="21" spans="1:23" x14ac:dyDescent="0.4">
      <c r="A21" s="26"/>
      <c r="B21" s="26">
        <v>0.13680555555555557</v>
      </c>
      <c r="C21" s="55">
        <f t="shared" si="4"/>
        <v>197</v>
      </c>
      <c r="D21">
        <v>4</v>
      </c>
      <c r="E21" s="56" cm="1">
        <f t="array" aca="1" ref="E21" ca="1">C21-INDIRECT("C" &amp; (ROW(D21) - D21))</f>
        <v>63</v>
      </c>
      <c r="G21">
        <v>2</v>
      </c>
      <c r="H21">
        <v>159955</v>
      </c>
      <c r="I21" s="28">
        <f t="shared" si="5"/>
        <v>0.3157951886913517</v>
      </c>
      <c r="J21" s="28">
        <f t="shared" si="6"/>
        <v>0.31359819093861535</v>
      </c>
      <c r="L21" s="28">
        <f t="shared" si="7"/>
        <v>-1.1596427592131631</v>
      </c>
      <c r="M21" s="57"/>
      <c r="N21" s="28" cm="1">
        <f t="array" aca="1" ref="N21" ca="1">L21-INDIRECT("L" &amp; (ROW(L21)-D21))</f>
        <v>-0.28616601800272234</v>
      </c>
      <c r="O21" s="57">
        <f ca="1"/>
        <v>5.3246109574232836</v>
      </c>
      <c r="P21" s="57">
        <f ca="1"/>
        <v>0.23353404672164943</v>
      </c>
      <c r="Q21" s="57">
        <f ca="1"/>
        <v>2.7054854715955874</v>
      </c>
      <c r="R21" s="57">
        <f ca="1"/>
        <v>0.1636501800617966</v>
      </c>
      <c r="T21">
        <f ca="1"/>
        <v>6.8656960892118674E-2</v>
      </c>
      <c r="U21">
        <f ca="1"/>
        <v>1.214194863092991E-2</v>
      </c>
    </row>
    <row r="22" spans="1:23" x14ac:dyDescent="0.4">
      <c r="A22" s="26"/>
      <c r="B22" s="26">
        <v>0.15208333333333332</v>
      </c>
      <c r="C22" s="55">
        <f t="shared" si="4"/>
        <v>219</v>
      </c>
      <c r="D22">
        <v>5</v>
      </c>
      <c r="E22" s="56" cm="1">
        <f t="array" aca="1" ref="E22" ca="1">C22-INDIRECT("C" &amp; (ROW(D22) - D22))</f>
        <v>85</v>
      </c>
      <c r="G22">
        <v>2</v>
      </c>
      <c r="H22">
        <v>133331</v>
      </c>
      <c r="I22" s="28">
        <f t="shared" si="5"/>
        <v>0.26323208592045644</v>
      </c>
      <c r="J22" s="28">
        <f t="shared" si="6"/>
        <v>0.26059338142174621</v>
      </c>
      <c r="L22" s="28">
        <f t="shared" si="7"/>
        <v>-1.3447940120745956</v>
      </c>
      <c r="M22" s="57"/>
      <c r="N22" s="28" cm="1">
        <f t="array" aca="1" ref="N22" ca="1">L22-INDIRECT("L" &amp; (ROW(L22)-D22))</f>
        <v>-0.47131727086415487</v>
      </c>
    </row>
    <row r="23" spans="1:23" x14ac:dyDescent="0.4">
      <c r="A23" s="26"/>
      <c r="B23" s="26">
        <v>0.17291666666666666</v>
      </c>
      <c r="C23" s="55">
        <f t="shared" si="4"/>
        <v>249</v>
      </c>
      <c r="D23">
        <v>6</v>
      </c>
      <c r="E23" s="56" cm="1">
        <f t="array" aca="1" ref="E23" ca="1">C23-INDIRECT("C" &amp; (ROW(D23) - D23))</f>
        <v>115</v>
      </c>
      <c r="G23">
        <v>2</v>
      </c>
      <c r="H23">
        <v>116467</v>
      </c>
      <c r="I23" s="28">
        <f t="shared" si="5"/>
        <v>0.2299379090451418</v>
      </c>
      <c r="J23" s="28">
        <f t="shared" si="6"/>
        <v>0.22701942154747934</v>
      </c>
      <c r="L23" s="28">
        <f t="shared" si="7"/>
        <v>-1.4827197076826841</v>
      </c>
      <c r="M23" s="57"/>
      <c r="N23" s="28" cm="1">
        <f t="array" aca="1" ref="N23" ca="1">L23-INDIRECT("L" &amp; (ROW(L23)-D23))</f>
        <v>-0.60924296647224341</v>
      </c>
    </row>
    <row r="24" spans="1:23" x14ac:dyDescent="0.4">
      <c r="A24" s="26"/>
      <c r="B24" s="26">
        <v>0.19444444444444445</v>
      </c>
      <c r="C24" s="55">
        <f t="shared" si="4"/>
        <v>280</v>
      </c>
      <c r="D24">
        <v>7</v>
      </c>
      <c r="E24" s="56" cm="1">
        <f t="array" aca="1" ref="E24" ca="1">C24-INDIRECT("C" &amp; (ROW(D24) - D24))</f>
        <v>146</v>
      </c>
      <c r="G24">
        <v>2</v>
      </c>
      <c r="H24">
        <v>98887</v>
      </c>
      <c r="I24" s="28">
        <f t="shared" si="5"/>
        <v>0.19523015113076611</v>
      </c>
      <c r="J24" s="28">
        <f t="shared" si="6"/>
        <v>0.19202000180189041</v>
      </c>
      <c r="L24" s="28">
        <f t="shared" si="7"/>
        <v>-1.6501557363287909</v>
      </c>
      <c r="N24" s="28" cm="1">
        <f t="array" aca="1" ref="N24" ca="1">L24-INDIRECT("L" &amp; (ROW(L24)-D24))</f>
        <v>-0.77667899511835015</v>
      </c>
    </row>
    <row r="25" spans="1:23" x14ac:dyDescent="0.4">
      <c r="A25" s="26"/>
      <c r="B25" s="26">
        <v>0.22708333333333333</v>
      </c>
      <c r="C25" s="55">
        <f t="shared" si="4"/>
        <v>327</v>
      </c>
      <c r="D25">
        <v>8</v>
      </c>
      <c r="E25" s="56" cm="1">
        <f t="array" aca="1" ref="E25" ca="1">C25-INDIRECT("C" &amp; (ROW(D25) - D25))</f>
        <v>193</v>
      </c>
      <c r="G25">
        <v>2</v>
      </c>
      <c r="H25">
        <v>83359</v>
      </c>
      <c r="I25" s="28">
        <f t="shared" si="5"/>
        <v>0.16457360591492848</v>
      </c>
      <c r="J25" s="28">
        <f t="shared" si="6"/>
        <v>0.16110583855902894</v>
      </c>
      <c r="L25" s="28">
        <f t="shared" si="7"/>
        <v>-1.8256937476245874</v>
      </c>
      <c r="N25" s="28" cm="1">
        <f t="array" aca="1" ref="N25" ca="1">L25-INDIRECT("L" &amp; (ROW(L25)-D25))</f>
        <v>-0.95221700641414664</v>
      </c>
    </row>
    <row r="26" spans="1:23" x14ac:dyDescent="0.4">
      <c r="A26" s="26"/>
      <c r="B26" s="26">
        <v>0.2638888888888889</v>
      </c>
      <c r="C26" s="55">
        <f t="shared" si="4"/>
        <v>380</v>
      </c>
      <c r="D26">
        <v>9</v>
      </c>
      <c r="E26" s="56" cm="1">
        <f t="array" aca="1" ref="E26" ca="1">C26-INDIRECT("C" &amp; (ROW(D26) - D26))</f>
        <v>246</v>
      </c>
      <c r="G26">
        <v>2</v>
      </c>
      <c r="H26">
        <v>36023</v>
      </c>
      <c r="I26" s="28">
        <f t="shared" si="5"/>
        <v>7.1119315321362647E-2</v>
      </c>
      <c r="J26" s="28">
        <f t="shared" si="6"/>
        <v>6.6866217792407923E-2</v>
      </c>
      <c r="L26" s="28">
        <f t="shared" si="7"/>
        <v>-2.7050614051199</v>
      </c>
      <c r="N26" s="28" cm="1">
        <f t="array" aca="1" ref="N26" ca="1">L26-INDIRECT("L" &amp; (ROW(L26)-D26))</f>
        <v>-1.8315846639094593</v>
      </c>
    </row>
    <row r="27" spans="1:23" x14ac:dyDescent="0.4">
      <c r="A27" s="26"/>
      <c r="B27" s="26"/>
      <c r="C27" s="55"/>
      <c r="E27" s="56"/>
      <c r="L27" s="28"/>
      <c r="N27" s="28"/>
    </row>
    <row r="28" spans="1:23" x14ac:dyDescent="0.4">
      <c r="E28" s="56"/>
    </row>
    <row r="29" spans="1:23" s="20" customFormat="1" x14ac:dyDescent="0.4">
      <c r="A29" s="54" t="s">
        <v>151</v>
      </c>
      <c r="E29" s="64"/>
      <c r="I29" s="30"/>
      <c r="J29" s="30"/>
    </row>
    <row r="30" spans="1:23" x14ac:dyDescent="0.4">
      <c r="A30" s="26"/>
      <c r="B30" s="26">
        <v>9.4444444444444442E-2</v>
      </c>
      <c r="C30" s="55">
        <f t="shared" ref="C30:C39" si="8">HOUR(B30)*60+MINUTE(B30)</f>
        <v>136</v>
      </c>
      <c r="D30">
        <v>0</v>
      </c>
      <c r="E30" s="56" cm="1">
        <f t="array" aca="1" ref="E30" ca="1">C30-INDIRECT("C" &amp; (ROW(D30) - D30))</f>
        <v>0</v>
      </c>
      <c r="G30">
        <v>0</v>
      </c>
      <c r="H30">
        <v>231078</v>
      </c>
      <c r="I30" s="28">
        <f>H30/506515</f>
        <v>0.45621156332981255</v>
      </c>
      <c r="J30" s="28">
        <f>(I30*240-$C$325*2)/238</f>
        <v>0.45519453511185315</v>
      </c>
      <c r="L30" s="28">
        <f>LN(J30)</f>
        <v>-0.78703040170813399</v>
      </c>
      <c r="M30" s="57">
        <f ca="1">SLOPE(L30:L39, E30:E39)</f>
        <v>-7.4846922425774653E-3</v>
      </c>
      <c r="N30" s="28" cm="1">
        <f t="array" aca="1" ref="N30" ca="1">L30-INDIRECT("L" &amp; (ROW(L30)-D30))</f>
        <v>0</v>
      </c>
      <c r="O30" s="57" cm="1">
        <f t="array" aca="1" ref="O30:P34" ca="1">LINEST(_xlfn._xlws.FILTER(N30:N41,NOT(ISBLANK(N30:N41))),_xlfn._xlws.FILTER(E30:E41,NOT(ISBLANK(E30:E41))), FALSE, TRUE)</f>
        <v>-7.4143161220665442E-3</v>
      </c>
      <c r="P30" s="57">
        <f ca="1"/>
        <v>0</v>
      </c>
      <c r="Q30" s="57" cm="1">
        <f t="array" aca="1" ref="Q30:R34" ca="1">LINEST(_xlfn._xlws.FILTER(N30:N41, NOT(ISBLANK(N30:N41))),_xlfn._xlws.FILTER(E30:E41, NOT(ISBLANK(E30:E41))), TRUE, TRUE)</f>
        <v>-7.4846922425774653E-3</v>
      </c>
      <c r="R30" s="57">
        <f ca="1"/>
        <v>1.1299880680037844E-2</v>
      </c>
      <c r="S30">
        <f ca="1">ABS(O30)</f>
        <v>7.4143161220665442E-3</v>
      </c>
      <c r="T30" cm="1">
        <f t="array" aca="1" ref="T30:U34" ca="1">LINEST(_xlfn._xlws.FILTER(N30:N34, NOT(ISBLANK(N30:N34))),_xlfn._xlws.FILTER(E30:E34, NOT(ISBLANK(E30:E34))), TRUE, TRUE)</f>
        <v>-5.604133711648222E-3</v>
      </c>
      <c r="U30">
        <f ca="1"/>
        <v>-7.1742662416925534E-2</v>
      </c>
      <c r="V30">
        <f ca="1">S30/(2*'characterization &amp; setup'!$B$12/100)</f>
        <v>0.10681838574441054</v>
      </c>
      <c r="W30">
        <f ca="1">ABS(T30)/(2*'characterization &amp; setup'!$B$12/100)</f>
        <v>8.073900636532938E-2</v>
      </c>
    </row>
    <row r="31" spans="1:23" x14ac:dyDescent="0.4">
      <c r="A31" s="26"/>
      <c r="B31" s="26">
        <v>0.10138888888888889</v>
      </c>
      <c r="C31" s="55">
        <f t="shared" si="8"/>
        <v>146</v>
      </c>
      <c r="D31">
        <v>1</v>
      </c>
      <c r="E31" s="56" cm="1">
        <f t="array" aca="1" ref="E31" ca="1">C31-INDIRECT("C" &amp; (ROW(D31) - D31))</f>
        <v>10</v>
      </c>
      <c r="G31">
        <v>2</v>
      </c>
      <c r="H31">
        <v>189147</v>
      </c>
      <c r="I31" s="28">
        <f t="shared" ref="I31:I39" si="9">H31/506515</f>
        <v>0.37342823016100213</v>
      </c>
      <c r="J31" s="28">
        <f>(I31*240-$C$325*2)/238</f>
        <v>0.37171554368111998</v>
      </c>
      <c r="L31" s="28">
        <f>LN(J31)</f>
        <v>-0.98962638474019593</v>
      </c>
      <c r="M31" s="57"/>
      <c r="N31" s="28" cm="1">
        <f t="array" aca="1" ref="N31" ca="1">L31-INDIRECT("L" &amp; (ROW(L31)-D31))</f>
        <v>-0.20259598303206194</v>
      </c>
      <c r="O31" s="57">
        <f ca="1"/>
        <v>3.8078391398758688E-4</v>
      </c>
      <c r="P31" s="57" t="e">
        <f ca="1"/>
        <v>#N/A</v>
      </c>
      <c r="Q31" s="57">
        <f ca="1"/>
        <v>6.5066339201835495E-4</v>
      </c>
      <c r="R31" s="57">
        <f ca="1"/>
        <v>8.1573170038947901E-2</v>
      </c>
      <c r="T31">
        <f ca="1"/>
        <v>1.6251582092190037E-3</v>
      </c>
      <c r="U31">
        <f ca="1"/>
        <v>5.7721721276286497E-2</v>
      </c>
    </row>
    <row r="32" spans="1:23" x14ac:dyDescent="0.4">
      <c r="A32" s="26"/>
      <c r="B32" s="26">
        <v>0.10902777777777778</v>
      </c>
      <c r="C32" s="55">
        <f t="shared" si="8"/>
        <v>157</v>
      </c>
      <c r="D32">
        <v>2</v>
      </c>
      <c r="E32" s="56"/>
      <c r="F32" t="s">
        <v>84</v>
      </c>
      <c r="G32">
        <v>2</v>
      </c>
      <c r="L32" s="28"/>
      <c r="M32" s="57"/>
      <c r="N32" s="28"/>
      <c r="O32" s="57">
        <f ca="1"/>
        <v>0.97933496074552495</v>
      </c>
      <c r="P32" s="57">
        <f ca="1"/>
        <v>0.14321576107479536</v>
      </c>
      <c r="Q32" s="57">
        <f ca="1"/>
        <v>0.94975701861665573</v>
      </c>
      <c r="R32" s="57">
        <f ca="1"/>
        <v>0.15289466776927432</v>
      </c>
      <c r="T32">
        <f ca="1"/>
        <v>0.85602395817710497</v>
      </c>
      <c r="U32">
        <f ca="1"/>
        <v>7.6865001148552145E-2</v>
      </c>
    </row>
    <row r="33" spans="1:23" x14ac:dyDescent="0.4">
      <c r="A33" s="26"/>
      <c r="B33" s="26">
        <v>0.11874999999999999</v>
      </c>
      <c r="C33" s="55">
        <f t="shared" si="8"/>
        <v>171</v>
      </c>
      <c r="D33">
        <v>3</v>
      </c>
      <c r="E33" s="56" cm="1">
        <f t="array" aca="1" ref="E33" ca="1">C33-INDIRECT("C" &amp; (ROW(D33) - D33))</f>
        <v>35</v>
      </c>
      <c r="G33">
        <v>2</v>
      </c>
      <c r="H33">
        <v>173613</v>
      </c>
      <c r="I33" s="28">
        <f t="shared" si="9"/>
        <v>0.34275983929399917</v>
      </c>
      <c r="J33" s="28">
        <f t="shared" ref="J33:J39" si="10">(I33*240-$C$325*2)/238</f>
        <v>0.34078943524380612</v>
      </c>
      <c r="L33" s="28">
        <f t="shared" ref="L33:L39" si="11">LN(J33)</f>
        <v>-1.0764904843789433</v>
      </c>
      <c r="M33" s="57"/>
      <c r="N33" s="28" cm="1">
        <f t="array" aca="1" ref="N33" ca="1">L33-INDIRECT("L" &amp; (ROW(L33)-D33))</f>
        <v>-0.28946008267080936</v>
      </c>
      <c r="O33" s="57">
        <f ca="1"/>
        <v>379.12725882035591</v>
      </c>
      <c r="P33" s="57">
        <f ca="1"/>
        <v>8</v>
      </c>
      <c r="Q33" s="57">
        <f ca="1"/>
        <v>132.32294237460442</v>
      </c>
      <c r="R33" s="57">
        <f ca="1"/>
        <v>7</v>
      </c>
      <c r="T33">
        <f ca="1"/>
        <v>11.891200054382654</v>
      </c>
      <c r="U33">
        <f ca="1"/>
        <v>2</v>
      </c>
    </row>
    <row r="34" spans="1:23" x14ac:dyDescent="0.4">
      <c r="A34" s="26"/>
      <c r="B34" s="26">
        <v>0.13680555555555557</v>
      </c>
      <c r="C34" s="55">
        <f t="shared" si="8"/>
        <v>197</v>
      </c>
      <c r="D34">
        <v>4</v>
      </c>
      <c r="E34" s="56" cm="1">
        <f t="array" aca="1" ref="E34" ca="1">C34-INDIRECT("C" &amp; (ROW(D34) - D34))</f>
        <v>61</v>
      </c>
      <c r="G34">
        <v>2</v>
      </c>
      <c r="H34">
        <v>157402</v>
      </c>
      <c r="I34" s="28">
        <f t="shared" si="9"/>
        <v>0.31075486412050973</v>
      </c>
      <c r="J34" s="28">
        <f t="shared" si="10"/>
        <v>0.30851551069911087</v>
      </c>
      <c r="L34" s="28">
        <f t="shared" si="11"/>
        <v>-1.1759831591076764</v>
      </c>
      <c r="M34" s="57"/>
      <c r="N34" s="28" cm="1">
        <f t="array" aca="1" ref="N34" ca="1">L34-INDIRECT("L" &amp; (ROW(L34)-D34))</f>
        <v>-0.38895275739954238</v>
      </c>
      <c r="O34" s="57">
        <f ca="1"/>
        <v>7.776186023854935</v>
      </c>
      <c r="P34" s="57">
        <f ca="1"/>
        <v>0.16408603376186298</v>
      </c>
      <c r="Q34" s="57">
        <f ca="1"/>
        <v>3.0932842377209973</v>
      </c>
      <c r="R34" s="57">
        <f ca="1"/>
        <v>0.16363745602593741</v>
      </c>
      <c r="T34">
        <f ca="1"/>
        <v>7.0255925890017737E-2</v>
      </c>
      <c r="U34">
        <f ca="1"/>
        <v>1.1816456803133845E-2</v>
      </c>
    </row>
    <row r="35" spans="1:23" x14ac:dyDescent="0.4">
      <c r="A35" s="26"/>
      <c r="B35" s="26">
        <v>0.15208333333333332</v>
      </c>
      <c r="C35" s="55">
        <f t="shared" si="8"/>
        <v>219</v>
      </c>
      <c r="D35">
        <v>5</v>
      </c>
      <c r="E35" s="56" cm="1">
        <f t="array" aca="1" ref="E35" ca="1">C35-INDIRECT("C" &amp; (ROW(D35) - D35))</f>
        <v>83</v>
      </c>
      <c r="G35">
        <v>2</v>
      </c>
      <c r="H35">
        <v>122281</v>
      </c>
      <c r="I35" s="28">
        <f t="shared" si="9"/>
        <v>0.24141634502433293</v>
      </c>
      <c r="J35" s="28">
        <f t="shared" si="10"/>
        <v>0.23859431497187378</v>
      </c>
      <c r="L35" s="28">
        <f t="shared" si="11"/>
        <v>-1.4329905962079055</v>
      </c>
      <c r="M35" s="57"/>
      <c r="N35" s="28" cm="1">
        <f t="array" aca="1" ref="N35" ca="1">L35-INDIRECT("L" &amp; (ROW(L35)-D35))</f>
        <v>-0.64596019449977149</v>
      </c>
    </row>
    <row r="36" spans="1:23" x14ac:dyDescent="0.4">
      <c r="A36" s="26"/>
      <c r="B36" s="26">
        <v>0.17291666666666666</v>
      </c>
      <c r="C36" s="55">
        <f t="shared" si="8"/>
        <v>249</v>
      </c>
      <c r="D36">
        <v>6</v>
      </c>
      <c r="E36" s="56" cm="1">
        <f t="array" aca="1" ref="E36" ca="1">C36-INDIRECT("C" &amp; (ROW(D36) - D36))</f>
        <v>113</v>
      </c>
      <c r="G36">
        <v>2</v>
      </c>
      <c r="H36">
        <v>115447</v>
      </c>
      <c r="I36" s="28">
        <f t="shared" si="9"/>
        <v>0.22792414834703809</v>
      </c>
      <c r="J36" s="28">
        <f t="shared" si="10"/>
        <v>0.22498873849056805</v>
      </c>
      <c r="L36" s="28">
        <f t="shared" si="11"/>
        <v>-1.4917049291833486</v>
      </c>
      <c r="M36" s="57"/>
      <c r="N36" s="28" cm="1">
        <f t="array" aca="1" ref="N36" ca="1">L36-INDIRECT("L" &amp; (ROW(L36)-D36))</f>
        <v>-0.70467452747521464</v>
      </c>
    </row>
    <row r="37" spans="1:23" x14ac:dyDescent="0.4">
      <c r="A37" s="26"/>
      <c r="B37" s="26">
        <v>0.19444444444444445</v>
      </c>
      <c r="C37" s="55">
        <f t="shared" si="8"/>
        <v>280</v>
      </c>
      <c r="D37">
        <v>7</v>
      </c>
      <c r="E37" s="56" cm="1">
        <f t="array" aca="1" ref="E37" ca="1">C37-INDIRECT("C" &amp; (ROW(D37) - D37))</f>
        <v>144</v>
      </c>
      <c r="G37">
        <v>2</v>
      </c>
      <c r="H37">
        <v>91128</v>
      </c>
      <c r="I37" s="28">
        <f t="shared" si="9"/>
        <v>0.17991174989881839</v>
      </c>
      <c r="J37" s="28">
        <f t="shared" si="10"/>
        <v>0.17657287450917003</v>
      </c>
      <c r="L37" s="28">
        <f t="shared" si="11"/>
        <v>-1.7340216010855523</v>
      </c>
      <c r="N37" s="28" cm="1">
        <f t="array" aca="1" ref="N37" ca="1">L37-INDIRECT("L" &amp; (ROW(L37)-D37))</f>
        <v>-0.94699119937741827</v>
      </c>
    </row>
    <row r="38" spans="1:23" x14ac:dyDescent="0.4">
      <c r="A38" s="26"/>
      <c r="B38" s="26">
        <v>0.22708333333333333</v>
      </c>
      <c r="C38" s="55">
        <f t="shared" si="8"/>
        <v>327</v>
      </c>
      <c r="D38">
        <v>8</v>
      </c>
      <c r="E38" s="56" cm="1">
        <f t="array" aca="1" ref="E38" ca="1">C38-INDIRECT("C" &amp; (ROW(D38) - D38))</f>
        <v>191</v>
      </c>
      <c r="G38">
        <v>2</v>
      </c>
      <c r="H38">
        <v>69224</v>
      </c>
      <c r="I38" s="28">
        <f t="shared" si="9"/>
        <v>0.13666722604463835</v>
      </c>
      <c r="J38" s="28">
        <f t="shared" si="10"/>
        <v>0.13296495129487082</v>
      </c>
      <c r="L38" s="28">
        <f t="shared" si="11"/>
        <v>-2.0176697095876754</v>
      </c>
      <c r="N38" s="28" cm="1">
        <f t="array" aca="1" ref="N38" ca="1">L38-INDIRECT("L" &amp; (ROW(L38)-D38))</f>
        <v>-1.2306393078795415</v>
      </c>
    </row>
    <row r="39" spans="1:23" x14ac:dyDescent="0.4">
      <c r="A39" s="26"/>
      <c r="B39" s="26">
        <v>0.2638888888888889</v>
      </c>
      <c r="C39" s="55">
        <f t="shared" si="8"/>
        <v>380</v>
      </c>
      <c r="D39">
        <v>9</v>
      </c>
      <c r="E39" s="56" cm="1">
        <f t="array" aca="1" ref="E39" ca="1">C39-INDIRECT("C" &amp; (ROW(D39) - D39))</f>
        <v>244</v>
      </c>
      <c r="G39">
        <v>2</v>
      </c>
      <c r="H39">
        <v>30914</v>
      </c>
      <c r="I39" s="28">
        <f t="shared" si="9"/>
        <v>6.1032743354096128E-2</v>
      </c>
      <c r="J39" s="28">
        <f t="shared" si="10"/>
        <v>5.6694884716172782E-2</v>
      </c>
      <c r="L39" s="28">
        <f t="shared" si="11"/>
        <v>-2.8700712889641795</v>
      </c>
      <c r="N39" s="28" cm="1">
        <f t="array" aca="1" ref="N39" ca="1">L39-INDIRECT("L" &amp; (ROW(L39)-D39))</f>
        <v>-2.0830408872560455</v>
      </c>
    </row>
    <row r="40" spans="1:23" x14ac:dyDescent="0.4">
      <c r="A40" s="26"/>
      <c r="B40" s="26"/>
      <c r="C40" s="55"/>
      <c r="E40" s="56"/>
      <c r="L40" s="28"/>
      <c r="N40" s="28"/>
    </row>
    <row r="41" spans="1:23" x14ac:dyDescent="0.4">
      <c r="E41" s="56"/>
    </row>
    <row r="42" spans="1:23" s="20" customFormat="1" x14ac:dyDescent="0.4">
      <c r="A42" s="19" t="s">
        <v>150</v>
      </c>
      <c r="E42" s="64"/>
      <c r="I42" s="30"/>
      <c r="J42" s="30"/>
    </row>
    <row r="43" spans="1:23" x14ac:dyDescent="0.4">
      <c r="A43" s="26"/>
      <c r="B43" s="26">
        <v>9.6527777777777782E-2</v>
      </c>
      <c r="C43" s="55">
        <f t="shared" ref="C43:C52" si="12">HOUR(B43)*60+MINUTE(B43)</f>
        <v>139</v>
      </c>
      <c r="D43">
        <v>0</v>
      </c>
      <c r="E43" s="56" cm="1">
        <f t="array" aca="1" ref="E43" ca="1">C43-INDIRECT("C" &amp; (ROW(D43) - D43))</f>
        <v>0</v>
      </c>
      <c r="G43">
        <v>0</v>
      </c>
      <c r="H43">
        <v>197230</v>
      </c>
      <c r="I43" s="28">
        <f>H43/506515</f>
        <v>0.38938629655587692</v>
      </c>
      <c r="J43" s="28">
        <f>(I43*240-$C$325*2)/238</f>
        <v>0.38780771147427107</v>
      </c>
      <c r="L43" s="28">
        <f>LN(J43)</f>
        <v>-0.94724565118751025</v>
      </c>
      <c r="M43" s="57">
        <f ca="1">SLOPE(L43:L52, E43:E52)</f>
        <v>-6.2165999647668616E-3</v>
      </c>
      <c r="N43" s="28" cm="1">
        <f t="array" aca="1" ref="N43" ca="1">L43-INDIRECT("L" &amp; (ROW(L43)-D43))</f>
        <v>0</v>
      </c>
      <c r="O43" s="57" cm="1">
        <f t="array" aca="1" ref="O43:P47" ca="1">LINEST(_xlfn._xlws.FILTER(N43:N54,NOT(ISBLANK(N43:N54))),_xlfn._xlws.FILTER(E43:E54,NOT(ISBLANK(E43:E54))), FALSE, TRUE)</f>
        <v>-5.5938888707083708E-3</v>
      </c>
      <c r="P43" s="57">
        <f ca="1"/>
        <v>0</v>
      </c>
      <c r="Q43" s="57" cm="1">
        <f t="array" aca="1" ref="Q43:R47" ca="1">LINEST(_xlfn._xlws.FILTER(N43:N54, NOT(ISBLANK(N43:N54))),_xlfn._xlws.FILTER(E43:E54, NOT(ISBLANK(E43:E54))), TRUE, TRUE)</f>
        <v>-6.2165999647668616E-3</v>
      </c>
      <c r="R43" s="57">
        <f ca="1"/>
        <v>0.10373629709073262</v>
      </c>
      <c r="S43">
        <f ca="1">ABS(O43)</f>
        <v>5.5938888707083708E-3</v>
      </c>
      <c r="T43" cm="1">
        <f t="array" aca="1" ref="T43:U47" ca="1">LINEST(_xlfn._xlws.FILTER(N43:N47, NOT(ISBLANK(N43:N47))),_xlfn._xlws.FILTER(E43:E47, NOT(ISBLANK(E43:E47))), TRUE, TRUE)</f>
        <v>-1.9994209414357176E-3</v>
      </c>
      <c r="U43">
        <f ca="1"/>
        <v>8.2100379301723064E-2</v>
      </c>
      <c r="V43">
        <f ca="1">S43/(2*'characterization &amp; setup'!$B$59/100)</f>
        <v>8.131248858293158E-2</v>
      </c>
      <c r="W43">
        <f ca="1">ABS(T43)/(2*'characterization &amp; setup'!$B$59/100)</f>
        <v>2.9063482709548068E-2</v>
      </c>
    </row>
    <row r="44" spans="1:23" x14ac:dyDescent="0.4">
      <c r="A44" s="26"/>
      <c r="B44" s="26">
        <v>0.10208333333333333</v>
      </c>
      <c r="C44" s="55">
        <f t="shared" si="12"/>
        <v>147</v>
      </c>
      <c r="D44">
        <v>1</v>
      </c>
      <c r="E44" s="56" cm="1">
        <f t="array" aca="1" ref="E44" ca="1">C44-INDIRECT("C" &amp; (ROW(D44) - D44))</f>
        <v>8</v>
      </c>
      <c r="G44">
        <v>2</v>
      </c>
      <c r="H44">
        <v>233349</v>
      </c>
      <c r="I44" s="28">
        <f t="shared" ref="I44:I52" si="13">H44/506515</f>
        <v>0.4606951422958846</v>
      </c>
      <c r="J44" s="28">
        <f>(I44*240-$C$325*2)/238</f>
        <v>0.45971579121209388</v>
      </c>
      <c r="L44" s="28">
        <f t="shared" ref="L44:L52" si="14">LN(J44)</f>
        <v>-0.77714682563509041</v>
      </c>
      <c r="M44" s="57"/>
      <c r="N44" s="28" cm="1">
        <f t="array" aca="1" ref="N44" ca="1">L44-INDIRECT("L" &amp; (ROW(L44)-D44))</f>
        <v>0.17009882555241984</v>
      </c>
      <c r="O44" s="57">
        <f ca="1"/>
        <v>3.421688469215875E-4</v>
      </c>
      <c r="P44" s="57" t="e">
        <f ca="1"/>
        <v>#N/A</v>
      </c>
      <c r="Q44" s="57">
        <f ca="1"/>
        <v>4.9267230939218851E-4</v>
      </c>
      <c r="R44" s="57">
        <f ca="1"/>
        <v>6.4024420514855962E-2</v>
      </c>
      <c r="T44">
        <f ca="1"/>
        <v>4.7400676090420179E-3</v>
      </c>
      <c r="U44">
        <f ca="1"/>
        <v>0.10627340108565939</v>
      </c>
    </row>
    <row r="45" spans="1:23" x14ac:dyDescent="0.4">
      <c r="A45" s="26"/>
      <c r="B45" s="26">
        <v>0.11180555555555556</v>
      </c>
      <c r="C45" s="55">
        <f t="shared" si="12"/>
        <v>161</v>
      </c>
      <c r="D45">
        <v>2</v>
      </c>
      <c r="E45" s="56"/>
      <c r="F45" t="s">
        <v>84</v>
      </c>
      <c r="G45">
        <v>2</v>
      </c>
      <c r="L45" s="28"/>
      <c r="M45" s="57"/>
      <c r="N45" s="28"/>
      <c r="O45" s="57">
        <f ca="1"/>
        <v>0.97447750530389832</v>
      </c>
      <c r="P45" s="57">
        <f ca="1"/>
        <v>0.12576881316142074</v>
      </c>
      <c r="Q45" s="57">
        <f ca="1"/>
        <v>0.96368413254996654</v>
      </c>
      <c r="R45" s="57">
        <f ca="1"/>
        <v>0.11330164421652968</v>
      </c>
      <c r="T45">
        <f ca="1"/>
        <v>0.15105023138655529</v>
      </c>
      <c r="U45">
        <f ca="1"/>
        <v>0.13429262101768744</v>
      </c>
    </row>
    <row r="46" spans="1:23" x14ac:dyDescent="0.4">
      <c r="A46" s="26"/>
      <c r="B46" s="26">
        <v>0.12291666666666666</v>
      </c>
      <c r="C46" s="55">
        <f t="shared" si="12"/>
        <v>177</v>
      </c>
      <c r="D46">
        <v>3</v>
      </c>
      <c r="E46" s="56" cm="1">
        <f t="array" aca="1" ref="E46" ca="1">C46-INDIRECT("C" &amp; (ROW(D46) - D46))</f>
        <v>38</v>
      </c>
      <c r="G46">
        <v>2</v>
      </c>
      <c r="H46">
        <v>194182</v>
      </c>
      <c r="I46" s="28">
        <f t="shared" si="13"/>
        <v>0.38336870576389642</v>
      </c>
      <c r="J46" s="28">
        <f>(I46*240-$C$325*2)/238</f>
        <v>0.38173955269244197</v>
      </c>
      <c r="L46" s="28">
        <f t="shared" si="14"/>
        <v>-0.96301670214080393</v>
      </c>
      <c r="M46" s="57"/>
      <c r="N46" s="28" cm="1">
        <f t="array" aca="1" ref="N46" ca="1">L46-INDIRECT("L" &amp; (ROW(L46)-D46))</f>
        <v>-1.5771050953293675E-2</v>
      </c>
      <c r="O46" s="57">
        <f ca="1"/>
        <v>267.2678599153237</v>
      </c>
      <c r="P46" s="57">
        <f ca="1"/>
        <v>7</v>
      </c>
      <c r="Q46" s="57">
        <f ca="1"/>
        <v>159.21703655448505</v>
      </c>
      <c r="R46" s="57">
        <f ca="1"/>
        <v>6</v>
      </c>
      <c r="T46">
        <f ca="1"/>
        <v>0.17792599394103084</v>
      </c>
      <c r="U46">
        <f ca="1"/>
        <v>1</v>
      </c>
    </row>
    <row r="47" spans="1:23" x14ac:dyDescent="0.4">
      <c r="A47" s="26"/>
      <c r="B47" s="26">
        <v>0.13541666666666666</v>
      </c>
      <c r="C47" s="55">
        <f t="shared" si="12"/>
        <v>195</v>
      </c>
      <c r="D47">
        <v>4</v>
      </c>
      <c r="E47" s="56"/>
      <c r="F47" t="s">
        <v>85</v>
      </c>
      <c r="G47">
        <v>2</v>
      </c>
      <c r="L47" s="28"/>
      <c r="M47" s="57"/>
      <c r="N47" s="28"/>
      <c r="O47" s="57">
        <f ca="1"/>
        <v>4.2275880482555985</v>
      </c>
      <c r="P47" s="57">
        <f ca="1"/>
        <v>0.11072456054822653</v>
      </c>
      <c r="Q47" s="57">
        <f ca="1"/>
        <v>2.0439109058047364</v>
      </c>
      <c r="R47" s="57">
        <f ca="1"/>
        <v>7.7023575493014446E-2</v>
      </c>
      <c r="T47">
        <f ca="1"/>
        <v>3.2088077717774867E-3</v>
      </c>
      <c r="U47">
        <f ca="1"/>
        <v>1.8034508059800225E-2</v>
      </c>
    </row>
    <row r="48" spans="1:23" x14ac:dyDescent="0.4">
      <c r="A48" s="26"/>
      <c r="B48" s="26">
        <v>0.15277777777777779</v>
      </c>
      <c r="C48" s="55">
        <f t="shared" si="12"/>
        <v>220</v>
      </c>
      <c r="D48">
        <v>5</v>
      </c>
      <c r="E48" s="56" cm="1">
        <f t="array" aca="1" ref="E48" ca="1">C48-INDIRECT("C" &amp; (ROW(D48) - D48))</f>
        <v>81</v>
      </c>
      <c r="G48">
        <v>2</v>
      </c>
      <c r="H48">
        <v>118101</v>
      </c>
      <c r="I48" s="28">
        <f t="shared" si="13"/>
        <v>0.23316387471249617</v>
      </c>
      <c r="J48" s="28">
        <f>(I48*240-$C$325*2)/238</f>
        <v>0.23027249617002157</v>
      </c>
      <c r="L48" s="28">
        <f t="shared" si="14"/>
        <v>-1.468491905383664</v>
      </c>
      <c r="M48" s="57"/>
      <c r="N48" s="28" cm="1">
        <f t="array" aca="1" ref="N48" ca="1">L48-INDIRECT("L" &amp; (ROW(L48)-D48))</f>
        <v>-0.52124625419615378</v>
      </c>
      <c r="T48" t="e" cm="1">
        <f t="array" aca="1" ref="T48" ca="1">LOGEST(_xlfn._xlws.FILTER(N43:N47, NOT(ISBLANK(N43:N47))),_xlfn._xlws.FILTER(E43:E47, NOT(ISBLANK(E43:E47))), TRUE, TRUE)</f>
        <v>#NUM!</v>
      </c>
    </row>
    <row r="49" spans="1:23" x14ac:dyDescent="0.4">
      <c r="A49" s="26"/>
      <c r="B49" s="26">
        <v>0.17291666666666666</v>
      </c>
      <c r="C49" s="55">
        <f t="shared" si="12"/>
        <v>249</v>
      </c>
      <c r="D49">
        <v>6</v>
      </c>
      <c r="E49" s="56" cm="1">
        <f t="array" aca="1" ref="E49" ca="1">C49-INDIRECT("C" &amp; (ROW(D49) - D49))</f>
        <v>110</v>
      </c>
      <c r="G49">
        <v>2</v>
      </c>
      <c r="H49">
        <v>101300</v>
      </c>
      <c r="I49" s="28">
        <f t="shared" si="13"/>
        <v>0.19999407717441733</v>
      </c>
      <c r="J49" s="28">
        <f>(I49*240-$C$325*2)/238</f>
        <v>0.19682396083750509</v>
      </c>
      <c r="L49" s="28">
        <f t="shared" si="14"/>
        <v>-1.6254455495520894</v>
      </c>
      <c r="M49" s="57"/>
      <c r="N49" s="28" cm="1">
        <f t="array" aca="1" ref="N49" ca="1">L49-INDIRECT("L" &amp; (ROW(L49)-D49))</f>
        <v>-0.67819989836457917</v>
      </c>
    </row>
    <row r="50" spans="1:23" x14ac:dyDescent="0.4">
      <c r="A50" s="26"/>
      <c r="B50" s="26">
        <v>0.19513888888888889</v>
      </c>
      <c r="C50" s="55">
        <f t="shared" si="12"/>
        <v>281</v>
      </c>
      <c r="D50">
        <v>7</v>
      </c>
      <c r="E50" s="56" cm="1">
        <f t="array" aca="1" ref="E50" ca="1">C50-INDIRECT("C" &amp; (ROW(D50) - D50))</f>
        <v>142</v>
      </c>
      <c r="G50">
        <v>2</v>
      </c>
      <c r="H50">
        <v>100839</v>
      </c>
      <c r="I50" s="28">
        <f t="shared" si="13"/>
        <v>0.19908393630988225</v>
      </c>
      <c r="J50" s="28">
        <f>(I50*240-$C$325*2)/238</f>
        <v>0.19590617173041089</v>
      </c>
      <c r="L50" s="28">
        <f t="shared" si="14"/>
        <v>-1.6301194500337128</v>
      </c>
      <c r="N50" s="28" cm="1">
        <f t="array" aca="1" ref="N50" ca="1">L50-INDIRECT("L" &amp; (ROW(L50)-D50))</f>
        <v>-0.68287379884620258</v>
      </c>
    </row>
    <row r="51" spans="1:23" x14ac:dyDescent="0.4">
      <c r="A51" s="26"/>
      <c r="B51" s="26">
        <v>0.22777777777777777</v>
      </c>
      <c r="C51" s="55">
        <f t="shared" si="12"/>
        <v>328</v>
      </c>
      <c r="D51">
        <v>8</v>
      </c>
      <c r="E51" s="56" cm="1">
        <f t="array" aca="1" ref="E51" ca="1">C51-INDIRECT("C" &amp; (ROW(D51) - D51))</f>
        <v>189</v>
      </c>
      <c r="G51">
        <v>2</v>
      </c>
      <c r="H51">
        <v>65575</v>
      </c>
      <c r="I51" s="28">
        <f t="shared" si="13"/>
        <v>0.12946309586093205</v>
      </c>
      <c r="J51" s="28">
        <f>(I51*240-$C$325*2)/238</f>
        <v>0.12570028220205776</v>
      </c>
      <c r="L51" s="28">
        <f t="shared" si="14"/>
        <v>-2.073854918344241</v>
      </c>
      <c r="N51" s="28" cm="1">
        <f t="array" aca="1" ref="N51" ca="1">L51-INDIRECT("L" &amp; (ROW(L51)-D51))</f>
        <v>-1.1266092671567307</v>
      </c>
    </row>
    <row r="52" spans="1:23" x14ac:dyDescent="0.4">
      <c r="A52" s="26"/>
      <c r="B52" s="26">
        <v>0.26527777777777778</v>
      </c>
      <c r="C52" s="55">
        <f t="shared" si="12"/>
        <v>382</v>
      </c>
      <c r="D52">
        <v>9</v>
      </c>
      <c r="E52" s="56" cm="1">
        <f t="array" aca="1" ref="E52" ca="1">C52-INDIRECT("C" &amp; (ROW(D52) - D52))</f>
        <v>243</v>
      </c>
      <c r="G52">
        <v>2</v>
      </c>
      <c r="H52">
        <v>52574</v>
      </c>
      <c r="I52" s="28">
        <f t="shared" si="13"/>
        <v>0.10379554406088665</v>
      </c>
      <c r="J52" s="28">
        <f>(I52*240-$C$325*2)/238</f>
        <v>9.9817036689406918E-2</v>
      </c>
      <c r="L52" s="28">
        <f t="shared" si="14"/>
        <v>-2.3044164019230338</v>
      </c>
      <c r="N52" s="28" cm="1">
        <f t="array" aca="1" ref="N52" ca="1">L52-INDIRECT("L" &amp; (ROW(L52)-D52))</f>
        <v>-1.3571707507355235</v>
      </c>
    </row>
    <row r="53" spans="1:23" x14ac:dyDescent="0.4">
      <c r="A53" s="26"/>
      <c r="B53" s="26"/>
      <c r="C53" s="55"/>
      <c r="E53" s="56"/>
      <c r="L53" s="28"/>
      <c r="N53" s="28"/>
    </row>
    <row r="54" spans="1:23" x14ac:dyDescent="0.4">
      <c r="E54" s="56"/>
    </row>
    <row r="55" spans="1:23" s="20" customFormat="1" x14ac:dyDescent="0.4">
      <c r="A55" s="19" t="s">
        <v>149</v>
      </c>
      <c r="E55" s="64"/>
      <c r="I55" s="30"/>
      <c r="J55" s="30"/>
    </row>
    <row r="56" spans="1:23" x14ac:dyDescent="0.4">
      <c r="A56" s="26"/>
      <c r="B56" s="26">
        <v>9.7916666666666666E-2</v>
      </c>
      <c r="C56" s="55">
        <f t="shared" ref="C56:C65" si="15">HOUR(B56)*60+MINUTE(B56)</f>
        <v>141</v>
      </c>
      <c r="D56">
        <v>0</v>
      </c>
      <c r="E56" s="56" cm="1">
        <f t="array" aca="1" ref="E56" ca="1">C56-INDIRECT("C" &amp; (ROW(D56) - D56))</f>
        <v>0</v>
      </c>
      <c r="G56">
        <v>0</v>
      </c>
      <c r="H56">
        <v>310278</v>
      </c>
      <c r="I56" s="28">
        <f>H56/506515</f>
        <v>0.61257415871198284</v>
      </c>
      <c r="J56" s="28">
        <f>(I56*240-$C$325*2)/238</f>
        <v>0.61287110188378968</v>
      </c>
      <c r="L56" s="28">
        <f>LN(J56)</f>
        <v>-0.48960063940822229</v>
      </c>
      <c r="M56" s="57">
        <f ca="1">SLOPE(L56:L65, E56:E65)</f>
        <v>-6.7921953716500571E-3</v>
      </c>
      <c r="N56" s="28" cm="1">
        <f t="array" aca="1" ref="N56" ca="1">L56-INDIRECT("L" &amp; (ROW(L56)-D56))</f>
        <v>0</v>
      </c>
      <c r="O56" s="57" cm="1">
        <f t="array" aca="1" ref="O56:P60" ca="1">LINEST(_xlfn._xlws.FILTER(N56:N67,NOT(ISBLANK(N56:N67))),_xlfn._xlws.FILTER(E56:E67,NOT(ISBLANK(E56:E67))), FALSE, TRUE)</f>
        <v>-7.4750451231637358E-3</v>
      </c>
      <c r="P56" s="57">
        <f ca="1"/>
        <v>0</v>
      </c>
      <c r="Q56" s="57" cm="1">
        <f t="array" aca="1" ref="Q56:R60" ca="1">LINEST(_xlfn._xlws.FILTER(N56:N67, NOT(ISBLANK(N56:N67))),_xlfn._xlws.FILTER(E56:E67, NOT(ISBLANK(E56:E67))), TRUE, TRUE)</f>
        <v>-6.7921953716500571E-3</v>
      </c>
      <c r="R56" s="57">
        <f ca="1"/>
        <v>-0.10814652836152427</v>
      </c>
      <c r="S56">
        <f ca="1">ABS(O56)</f>
        <v>7.4750451231637358E-3</v>
      </c>
      <c r="T56" cm="1">
        <f t="array" aca="1" ref="T56:U60" ca="1">LINEST(_xlfn._xlws.FILTER(N56:N60, NOT(ISBLANK(N56:N60))),_xlfn._xlws.FILTER(E56:E60, NOT(ISBLANK(E56:E60))), TRUE, TRUE)</f>
        <v>-8.2525768484260423E-3</v>
      </c>
      <c r="U56">
        <f ca="1"/>
        <v>-0.12055596658991349</v>
      </c>
      <c r="V56">
        <f ca="1">S56/(2*'characterization &amp; setup'!$B$59/100)</f>
        <v>0.10865688169403701</v>
      </c>
      <c r="W56">
        <f ca="1">ABS(T56)/(2*'characterization &amp; setup'!$B$59/100)</f>
        <v>0.11995904392759819</v>
      </c>
    </row>
    <row r="57" spans="1:23" x14ac:dyDescent="0.4">
      <c r="A57" s="26"/>
      <c r="B57" s="26">
        <v>0.10347222222222222</v>
      </c>
      <c r="C57" s="55">
        <f t="shared" si="15"/>
        <v>149</v>
      </c>
      <c r="D57">
        <v>1</v>
      </c>
      <c r="E57" s="56" cm="1">
        <f t="array" aca="1" ref="E57" ca="1">C57-INDIRECT("C" &amp; (ROW(D57) - D57))</f>
        <v>8</v>
      </c>
      <c r="G57">
        <v>2</v>
      </c>
      <c r="H57">
        <v>223643</v>
      </c>
      <c r="I57" s="28">
        <f t="shared" ref="I57:I65" si="16">H57/506515</f>
        <v>0.4415328272607919</v>
      </c>
      <c r="J57" s="28">
        <f>(I57*240-$C$325*2)/238</f>
        <v>0.44039244831956348</v>
      </c>
      <c r="L57" s="28">
        <f t="shared" ref="L57:L65" si="17">LN(J57)</f>
        <v>-0.82008902160223796</v>
      </c>
      <c r="M57" s="57"/>
      <c r="N57" s="28" cm="1">
        <f t="array" aca="1" ref="N57" ca="1">L57-INDIRECT("L" &amp; (ROW(L57)-D57))</f>
        <v>-0.33048838219401566</v>
      </c>
      <c r="O57" s="57">
        <f ca="1"/>
        <v>5.7101469409184444E-4</v>
      </c>
      <c r="P57" s="57" t="e">
        <f ca="1"/>
        <v>#N/A</v>
      </c>
      <c r="Q57" s="57">
        <f ca="1"/>
        <v>9.0856279070371249E-4</v>
      </c>
      <c r="R57">
        <f ca="1"/>
        <v>0.11164031401946808</v>
      </c>
      <c r="T57">
        <f ca="1"/>
        <v>3.0131488944643487E-3</v>
      </c>
      <c r="U57">
        <f ca="1"/>
        <v>0.10059134827114093</v>
      </c>
    </row>
    <row r="58" spans="1:23" x14ac:dyDescent="0.4">
      <c r="A58" s="26"/>
      <c r="B58" s="26">
        <v>0.1125</v>
      </c>
      <c r="C58" s="55">
        <f t="shared" si="15"/>
        <v>162</v>
      </c>
      <c r="D58">
        <v>2</v>
      </c>
      <c r="E58" s="56"/>
      <c r="F58" t="s">
        <v>84</v>
      </c>
      <c r="G58">
        <v>2</v>
      </c>
      <c r="L58" s="28"/>
      <c r="M58" s="57"/>
      <c r="N58" s="28"/>
      <c r="O58" s="57">
        <f ca="1"/>
        <v>0.95539928410627972</v>
      </c>
      <c r="P58" s="57">
        <f ca="1"/>
        <v>0.21049153809865639</v>
      </c>
      <c r="Q58" s="57">
        <f ca="1"/>
        <v>0.88868915610541321</v>
      </c>
      <c r="R58">
        <f ca="1"/>
        <v>0.2113067826223044</v>
      </c>
      <c r="T58">
        <f ca="1"/>
        <v>0.78950303793277665</v>
      </c>
      <c r="U58">
        <f ca="1"/>
        <v>0.13332971063305643</v>
      </c>
    </row>
    <row r="59" spans="1:23" x14ac:dyDescent="0.4">
      <c r="A59" s="26"/>
      <c r="B59" s="26">
        <v>0.12361111111111112</v>
      </c>
      <c r="C59" s="55">
        <f t="shared" si="15"/>
        <v>178</v>
      </c>
      <c r="D59">
        <v>3</v>
      </c>
      <c r="E59" s="56" cm="1">
        <f t="array" aca="1" ref="E59" ca="1">C59-INDIRECT("C" &amp; (ROW(D59) - D59))</f>
        <v>37</v>
      </c>
      <c r="G59">
        <v>2</v>
      </c>
      <c r="H59">
        <v>205007</v>
      </c>
      <c r="I59" s="28">
        <f t="shared" si="16"/>
        <v>0.40474023474132059</v>
      </c>
      <c r="J59" s="28">
        <f t="shared" ref="J59:J65" si="18">(I59*240-$C$325*2)/238</f>
        <v>0.40329067435034865</v>
      </c>
      <c r="L59" s="28">
        <f t="shared" si="17"/>
        <v>-0.90809770072660123</v>
      </c>
      <c r="M59" s="57"/>
      <c r="N59" s="28" cm="1">
        <f t="array" aca="1" ref="N59" ca="1">L59-INDIRECT("L" &amp; (ROW(L59)-D59))</f>
        <v>-0.41849706131837894</v>
      </c>
      <c r="O59" s="57">
        <f ca="1"/>
        <v>171.36931817559406</v>
      </c>
      <c r="P59" s="57">
        <f ca="1"/>
        <v>8</v>
      </c>
      <c r="Q59" s="57">
        <f ca="1"/>
        <v>55.886954721402724</v>
      </c>
      <c r="R59">
        <f ca="1"/>
        <v>7</v>
      </c>
      <c r="T59">
        <f ca="1"/>
        <v>7.5013247714296671</v>
      </c>
      <c r="U59">
        <f ca="1"/>
        <v>2</v>
      </c>
    </row>
    <row r="60" spans="1:23" x14ac:dyDescent="0.4">
      <c r="A60" s="26"/>
      <c r="B60" s="26">
        <v>0.1361111111111111</v>
      </c>
      <c r="C60" s="55">
        <f t="shared" si="15"/>
        <v>196</v>
      </c>
      <c r="D60">
        <v>4</v>
      </c>
      <c r="E60" s="56" cm="1">
        <f t="array" aca="1" ref="E60" ca="1">C60-INDIRECT("C" &amp; (ROW(D60) - D60))</f>
        <v>55</v>
      </c>
      <c r="G60">
        <v>2</v>
      </c>
      <c r="H60">
        <v>178543</v>
      </c>
      <c r="I60" s="28">
        <f t="shared" si="16"/>
        <v>0.35249301600150046</v>
      </c>
      <c r="J60" s="28">
        <f t="shared" si="18"/>
        <v>0.35060440335221071</v>
      </c>
      <c r="L60" s="28">
        <f t="shared" si="17"/>
        <v>-1.048096747098086</v>
      </c>
      <c r="M60" s="57"/>
      <c r="N60" s="28" cm="1">
        <f t="array" aca="1" ref="N60" ca="1">L60-INDIRECT("L" &amp; (ROW(L60)-D60))</f>
        <v>-0.55849610768986369</v>
      </c>
      <c r="O60" s="57">
        <f ca="1"/>
        <v>7.5928068465397791</v>
      </c>
      <c r="P60" s="57">
        <f ca="1"/>
        <v>0.35445350088910493</v>
      </c>
      <c r="Q60" s="57">
        <f ca="1"/>
        <v>2.4953836228168811</v>
      </c>
      <c r="R60">
        <f ca="1"/>
        <v>0.31255389467532868</v>
      </c>
      <c r="T60">
        <f ca="1"/>
        <v>0.13334963824350959</v>
      </c>
      <c r="U60">
        <f ca="1"/>
        <v>3.5553623474989117E-2</v>
      </c>
    </row>
    <row r="61" spans="1:23" x14ac:dyDescent="0.4">
      <c r="A61" s="26"/>
      <c r="B61" s="26">
        <v>0.15277777777777779</v>
      </c>
      <c r="C61" s="55">
        <f t="shared" si="15"/>
        <v>220</v>
      </c>
      <c r="D61">
        <v>5</v>
      </c>
      <c r="E61" s="56" cm="1">
        <f t="array" aca="1" ref="E61" ca="1">C61-INDIRECT("C" &amp; (ROW(D61) - D61))</f>
        <v>79</v>
      </c>
      <c r="G61">
        <v>2</v>
      </c>
      <c r="H61">
        <v>142050</v>
      </c>
      <c r="I61" s="28">
        <f t="shared" si="16"/>
        <v>0.28044579133885472</v>
      </c>
      <c r="J61" s="28">
        <f t="shared" si="18"/>
        <v>0.27795173982685373</v>
      </c>
      <c r="L61" s="28">
        <f t="shared" si="17"/>
        <v>-1.2803077781064631</v>
      </c>
      <c r="M61" s="57"/>
      <c r="N61" s="28" cm="1">
        <f t="array" aca="1" ref="N61" ca="1">L61-INDIRECT("L" &amp; (ROW(L61)-D61))</f>
        <v>-0.79070713869824083</v>
      </c>
    </row>
    <row r="62" spans="1:23" x14ac:dyDescent="0.4">
      <c r="A62" s="26"/>
      <c r="B62" s="26">
        <v>0.1736111111111111</v>
      </c>
      <c r="C62" s="55">
        <f t="shared" si="15"/>
        <v>250</v>
      </c>
      <c r="D62">
        <v>6</v>
      </c>
      <c r="E62" s="56" cm="1">
        <f t="array" aca="1" ref="E62" ca="1">C62-INDIRECT("C" &amp; (ROW(D62) - D62))</f>
        <v>109</v>
      </c>
      <c r="G62">
        <v>2</v>
      </c>
      <c r="H62">
        <v>160946</v>
      </c>
      <c r="I62" s="28">
        <f t="shared" si="16"/>
        <v>0.31775169540882303</v>
      </c>
      <c r="J62" s="28">
        <f t="shared" si="18"/>
        <v>0.31557113888900656</v>
      </c>
      <c r="L62" s="28">
        <f t="shared" si="17"/>
        <v>-1.1533711425792548</v>
      </c>
      <c r="M62" s="57"/>
      <c r="N62" s="28" cm="1">
        <f t="array" aca="1" ref="N62" ca="1">L62-INDIRECT("L" &amp; (ROW(L62)-D62))</f>
        <v>-0.66377050317103248</v>
      </c>
    </row>
    <row r="63" spans="1:23" x14ac:dyDescent="0.4">
      <c r="A63" s="26"/>
      <c r="B63" s="26">
        <v>0.19583333333333333</v>
      </c>
      <c r="C63" s="55">
        <f t="shared" si="15"/>
        <v>282</v>
      </c>
      <c r="D63">
        <v>7</v>
      </c>
      <c r="E63" s="56" cm="1">
        <f t="array" aca="1" ref="E63" ca="1">C63-INDIRECT("C" &amp; (ROW(D63) - D63))</f>
        <v>141</v>
      </c>
      <c r="G63">
        <v>2</v>
      </c>
      <c r="H63">
        <v>146375</v>
      </c>
      <c r="I63" s="28">
        <f t="shared" si="16"/>
        <v>0.28898453155385329</v>
      </c>
      <c r="J63" s="28">
        <f t="shared" si="18"/>
        <v>0.286562234161306</v>
      </c>
      <c r="L63" s="28">
        <f t="shared" si="17"/>
        <v>-1.2497995442131582</v>
      </c>
      <c r="N63" s="28" cm="1">
        <f t="array" aca="1" ref="N63" ca="1">L63-INDIRECT("L" &amp; (ROW(L63)-D63))</f>
        <v>-0.7601989048049359</v>
      </c>
    </row>
    <row r="64" spans="1:23" x14ac:dyDescent="0.4">
      <c r="A64" s="26"/>
      <c r="B64" s="26">
        <v>0.22847222222222222</v>
      </c>
      <c r="C64" s="55">
        <f t="shared" si="15"/>
        <v>329</v>
      </c>
      <c r="D64">
        <v>8</v>
      </c>
      <c r="E64" s="56" cm="1">
        <f t="array" aca="1" ref="E64" ca="1">C64-INDIRECT("C" &amp; (ROW(D64) - D64))</f>
        <v>188</v>
      </c>
      <c r="G64">
        <v>2</v>
      </c>
      <c r="H64">
        <v>92225</v>
      </c>
      <c r="I64" s="28">
        <f t="shared" si="16"/>
        <v>0.182077529786877</v>
      </c>
      <c r="J64" s="28">
        <f t="shared" si="18"/>
        <v>0.17875685422822071</v>
      </c>
      <c r="L64" s="28">
        <f t="shared" si="17"/>
        <v>-1.7217287528104801</v>
      </c>
      <c r="N64" s="28" cm="1">
        <f t="array" aca="1" ref="N64" ca="1">L64-INDIRECT("L" &amp; (ROW(L64)-D64))</f>
        <v>-1.2321281134022577</v>
      </c>
    </row>
    <row r="65" spans="1:23" x14ac:dyDescent="0.4">
      <c r="A65" s="26"/>
      <c r="B65" s="26">
        <v>0.26527777777777778</v>
      </c>
      <c r="C65" s="55">
        <f t="shared" si="15"/>
        <v>382</v>
      </c>
      <c r="D65">
        <v>9</v>
      </c>
      <c r="E65" s="56" cm="1">
        <f t="array" aca="1" ref="E65" ca="1">C65-INDIRECT("C" &amp; (ROW(D65) - D65))</f>
        <v>241</v>
      </c>
      <c r="G65">
        <v>2</v>
      </c>
      <c r="H65">
        <v>42196</v>
      </c>
      <c r="I65" s="28">
        <f t="shared" si="16"/>
        <v>8.3306516095278518E-2</v>
      </c>
      <c r="J65" s="28">
        <f t="shared" si="18"/>
        <v>7.9155832018205446E-2</v>
      </c>
      <c r="L65" s="28">
        <f t="shared" si="17"/>
        <v>-2.5363368122589645</v>
      </c>
      <c r="N65" s="28" cm="1">
        <f t="array" aca="1" ref="N65" ca="1">L65-INDIRECT("L" &amp; (ROW(L65)-D65))</f>
        <v>-2.0467361728507423</v>
      </c>
    </row>
    <row r="66" spans="1:23" x14ac:dyDescent="0.4">
      <c r="A66" s="26"/>
      <c r="B66" s="26"/>
      <c r="C66" s="55"/>
      <c r="E66" s="56"/>
      <c r="L66" s="28"/>
      <c r="N66" s="28"/>
    </row>
    <row r="67" spans="1:23" x14ac:dyDescent="0.4">
      <c r="A67" s="26"/>
      <c r="B67" s="26"/>
      <c r="E67" s="56"/>
    </row>
    <row r="68" spans="1:23" s="20" customFormat="1" x14ac:dyDescent="0.4">
      <c r="A68" s="54" t="s">
        <v>148</v>
      </c>
      <c r="E68" s="64"/>
      <c r="I68" s="30"/>
      <c r="J68" s="30"/>
    </row>
    <row r="69" spans="1:23" x14ac:dyDescent="0.4">
      <c r="A69" s="26"/>
      <c r="B69" s="26">
        <v>9.930555555555555E-2</v>
      </c>
      <c r="C69" s="55">
        <f t="shared" ref="C69:C78" si="19">HOUR(B69)*60+MINUTE(B69)</f>
        <v>143</v>
      </c>
      <c r="D69">
        <v>0</v>
      </c>
      <c r="E69" s="56" cm="1">
        <f t="array" aca="1" ref="E69" ca="1">C69-INDIRECT("C" &amp; (ROW(D69) - D69))</f>
        <v>0</v>
      </c>
      <c r="G69">
        <v>0</v>
      </c>
      <c r="H69">
        <v>220169</v>
      </c>
      <c r="I69" s="28">
        <f>H69/506515</f>
        <v>0.43467419523607398</v>
      </c>
      <c r="J69" s="28">
        <f>(I69*240-$C$325*2)/238</f>
        <v>0.43347618073161259</v>
      </c>
      <c r="L69" s="28">
        <f>LN(J69)</f>
        <v>-0.83591843068034788</v>
      </c>
      <c r="M69" s="57">
        <f ca="1">SLOPE(L69:L78, E69:E78)</f>
        <v>-6.6763163969831701E-3</v>
      </c>
      <c r="N69" s="28" cm="1">
        <f t="array" aca="1" ref="N69" ca="1">L69-INDIRECT("L" &amp; (ROW(L69)-D69))</f>
        <v>0</v>
      </c>
      <c r="O69" s="57" cm="1">
        <f t="array" aca="1" ref="O69:P73" ca="1">LINEST(_xlfn._xlws.FILTER(N69:N80,NOT(ISBLANK(N69:N80))),_xlfn._xlws.FILTER(E69:E80,NOT(ISBLANK(E69:E80))), FALSE, TRUE)</f>
        <v>-6.1494893179237569E-3</v>
      </c>
      <c r="P69" s="57">
        <f ca="1"/>
        <v>0</v>
      </c>
      <c r="Q69" s="57" cm="1">
        <f t="array" aca="1" ref="Q69:R73" ca="1">LINEST(_xlfn._xlws.FILTER(N69:N80, NOT(ISBLANK(N69:N80))),_xlfn._xlws.FILTER(E69:E80, NOT(ISBLANK(E69:E80))), TRUE, TRUE)</f>
        <v>-6.6763163969831727E-3</v>
      </c>
      <c r="R69" s="57">
        <f ca="1"/>
        <v>8.2861129451258897E-2</v>
      </c>
      <c r="S69">
        <f ca="1">ABS(O69)</f>
        <v>6.1494893179237569E-3</v>
      </c>
      <c r="T69" cm="1">
        <f t="array" aca="1" ref="T69:U73" ca="1">LINEST(_xlfn._xlws.FILTER(N69:N73, NOT(ISBLANK(N69:N73))),_xlfn._xlws.FILTER(E69:E73, NOT(ISBLANK(E69:E73))), TRUE, TRUE)</f>
        <v>-5.4518425528678445E-3</v>
      </c>
      <c r="U69">
        <f ca="1"/>
        <v>3.026481832560135E-2</v>
      </c>
      <c r="V69">
        <f ca="1">S69/(2*'characterization &amp; setup'!$B$59/100)</f>
        <v>8.9388668869143068E-2</v>
      </c>
      <c r="W69">
        <f ca="1">ABS(T69)/(2*'characterization &amp; setup'!$B$59/100)</f>
        <v>7.9247710417935144E-2</v>
      </c>
    </row>
    <row r="70" spans="1:23" x14ac:dyDescent="0.4">
      <c r="A70" s="26"/>
      <c r="B70" s="26">
        <v>0.10486111111111111</v>
      </c>
      <c r="C70" s="55">
        <f t="shared" si="19"/>
        <v>151</v>
      </c>
      <c r="D70">
        <v>1</v>
      </c>
      <c r="E70" s="56" cm="1">
        <f t="array" aca="1" ref="E70" ca="1">C70-INDIRECT("C" &amp; (ROW(D70) - D70))</f>
        <v>8</v>
      </c>
      <c r="G70">
        <v>2</v>
      </c>
      <c r="H70">
        <v>223299</v>
      </c>
      <c r="I70" s="28">
        <f t="shared" ref="I70" si="20">H70/506515</f>
        <v>0.44085367659398045</v>
      </c>
      <c r="J70" s="28">
        <f>(I70*240-$C$325*2)/238</f>
        <v>0.43970759050429137</v>
      </c>
      <c r="L70" s="28">
        <f t="shared" ref="L70:L77" si="21">LN(J70)</f>
        <v>-0.82164534002808809</v>
      </c>
      <c r="M70" s="57"/>
      <c r="N70" s="28" cm="1">
        <f t="array" aca="1" ref="N70" ca="1">L70-INDIRECT("L" &amp; (ROW(L70)-D70))</f>
        <v>1.427309065225979E-2</v>
      </c>
      <c r="O70" s="57">
        <f ca="1"/>
        <v>3.2303059408274093E-4</v>
      </c>
      <c r="P70" s="57" t="e">
        <f ca="1"/>
        <v>#N/A</v>
      </c>
      <c r="Q70" s="57">
        <f ca="1"/>
        <v>4.8026356926198887E-4</v>
      </c>
      <c r="R70">
        <f ca="1"/>
        <v>5.8430751788126255E-2</v>
      </c>
      <c r="T70">
        <f ca="1"/>
        <v>8.2543251195409248E-4</v>
      </c>
      <c r="U70">
        <f ca="1"/>
        <v>2.664817812598089E-2</v>
      </c>
    </row>
    <row r="71" spans="1:23" x14ac:dyDescent="0.4">
      <c r="A71" s="26"/>
      <c r="B71" s="26">
        <v>0.1125</v>
      </c>
      <c r="C71" s="55">
        <f t="shared" si="19"/>
        <v>162</v>
      </c>
      <c r="D71">
        <v>2</v>
      </c>
      <c r="E71" s="56"/>
      <c r="F71" t="s">
        <v>84</v>
      </c>
      <c r="G71">
        <v>2</v>
      </c>
      <c r="L71" s="28"/>
      <c r="M71" s="57"/>
      <c r="N71" s="28"/>
      <c r="O71" s="57">
        <f ca="1"/>
        <v>0.9784018544523404</v>
      </c>
      <c r="P71" s="57">
        <f ca="1"/>
        <v>0.11790351176432746</v>
      </c>
      <c r="Q71" s="57">
        <f ca="1"/>
        <v>0.96504330927495607</v>
      </c>
      <c r="R71">
        <f ca="1"/>
        <v>0.11109243708472748</v>
      </c>
      <c r="T71">
        <f ca="1"/>
        <v>0.95616322818448451</v>
      </c>
      <c r="U71">
        <f ca="1"/>
        <v>3.5182699195144398E-2</v>
      </c>
    </row>
    <row r="72" spans="1:23" x14ac:dyDescent="0.4">
      <c r="A72" s="26"/>
      <c r="B72" s="26">
        <v>0.12430555555555556</v>
      </c>
      <c r="C72" s="55">
        <f t="shared" si="19"/>
        <v>179</v>
      </c>
      <c r="D72">
        <v>3</v>
      </c>
      <c r="E72" s="56" cm="1">
        <f t="array" aca="1" ref="E72" ca="1">C72-INDIRECT("C" &amp; (ROW(D72) - D72))</f>
        <v>36</v>
      </c>
      <c r="G72">
        <v>2</v>
      </c>
      <c r="H72">
        <v>190824</v>
      </c>
      <c r="I72" s="28">
        <f t="shared" ref="I72:I78" si="22">H72/506515</f>
        <v>0.37673908966170794</v>
      </c>
      <c r="J72" s="28">
        <f t="shared" ref="J72:J78" si="23">(I72*240-$C$325*2)/238</f>
        <v>0.37505422553057122</v>
      </c>
      <c r="L72" s="28">
        <f t="shared" si="21"/>
        <v>-0.98068466205064653</v>
      </c>
      <c r="M72" s="57"/>
      <c r="N72" s="28" cm="1">
        <f t="array" aca="1" ref="N72" ca="1">L72-INDIRECT("L" &amp; (ROW(L72)-D72))</f>
        <v>-0.14476623137029865</v>
      </c>
      <c r="O72" s="57">
        <f ca="1"/>
        <v>362.40217098022435</v>
      </c>
      <c r="P72" s="57">
        <f ca="1"/>
        <v>8</v>
      </c>
      <c r="Q72" s="57">
        <f ca="1"/>
        <v>193.24778818622511</v>
      </c>
      <c r="R72">
        <f ca="1"/>
        <v>7</v>
      </c>
      <c r="T72">
        <f ca="1"/>
        <v>43.623797491678566</v>
      </c>
      <c r="U72">
        <f ca="1"/>
        <v>2</v>
      </c>
    </row>
    <row r="73" spans="1:23" x14ac:dyDescent="0.4">
      <c r="A73" s="26"/>
      <c r="B73" s="26">
        <v>0.1361111111111111</v>
      </c>
      <c r="C73" s="55">
        <f t="shared" si="19"/>
        <v>196</v>
      </c>
      <c r="D73">
        <v>4</v>
      </c>
      <c r="E73" s="56" cm="1">
        <f t="array" aca="1" ref="E73" ca="1">C73-INDIRECT("C" &amp; (ROW(D73) - D73))</f>
        <v>53</v>
      </c>
      <c r="G73">
        <v>2</v>
      </c>
      <c r="H73">
        <v>167444</v>
      </c>
      <c r="I73" s="28">
        <f t="shared" si="22"/>
        <v>0.33058053562086021</v>
      </c>
      <c r="J73" s="28">
        <f t="shared" si="23"/>
        <v>0.32850778448097689</v>
      </c>
      <c r="L73" s="28">
        <f t="shared" si="21"/>
        <v>-1.1131947442880845</v>
      </c>
      <c r="M73" s="57"/>
      <c r="N73" s="28" cm="1">
        <f t="array" aca="1" ref="N73" ca="1">L73-INDIRECT("L" &amp; (ROW(L73)-D73))</f>
        <v>-0.27727631360773664</v>
      </c>
      <c r="O73" s="57">
        <f ca="1"/>
        <v>5.0378388618101715</v>
      </c>
      <c r="P73" s="57">
        <f ca="1"/>
        <v>0.11120990469088723</v>
      </c>
      <c r="Q73" s="57">
        <f ca="1"/>
        <v>2.3849732936720907</v>
      </c>
      <c r="R73">
        <f ca="1"/>
        <v>8.6390707041968925E-2</v>
      </c>
      <c r="T73">
        <f ca="1"/>
        <v>5.3998510334225175E-2</v>
      </c>
      <c r="U73">
        <f ca="1"/>
        <v>2.4756446453120286E-3</v>
      </c>
    </row>
    <row r="74" spans="1:23" x14ac:dyDescent="0.4">
      <c r="A74" s="26"/>
      <c r="B74" s="26">
        <v>0.15347222222222223</v>
      </c>
      <c r="C74" s="55">
        <f t="shared" si="19"/>
        <v>221</v>
      </c>
      <c r="D74">
        <v>5</v>
      </c>
      <c r="E74" s="56" cm="1">
        <f t="array" aca="1" ref="E74" ca="1">C74-INDIRECT("C" &amp; (ROW(D74) - D74))</f>
        <v>78</v>
      </c>
      <c r="G74">
        <v>2</v>
      </c>
      <c r="H74">
        <v>143582</v>
      </c>
      <c r="I74" s="28">
        <f t="shared" si="22"/>
        <v>0.2834703809363987</v>
      </c>
      <c r="J74" s="28">
        <f t="shared" si="23"/>
        <v>0.28100174614370477</v>
      </c>
      <c r="L74" s="28">
        <f t="shared" si="21"/>
        <v>-1.2693943956331617</v>
      </c>
      <c r="M74" s="57"/>
      <c r="N74" s="28" cm="1">
        <f t="array" aca="1" ref="N74" ca="1">L74-INDIRECT("L" &amp; (ROW(L74)-D74))</f>
        <v>-0.43347596495281382</v>
      </c>
    </row>
    <row r="75" spans="1:23" x14ac:dyDescent="0.4">
      <c r="A75" s="26"/>
      <c r="B75" s="26">
        <v>0.1736111111111111</v>
      </c>
      <c r="C75" s="55">
        <f t="shared" si="19"/>
        <v>250</v>
      </c>
      <c r="D75">
        <v>6</v>
      </c>
      <c r="E75" s="56" cm="1">
        <f t="array" aca="1" ref="E75" ca="1">C75-INDIRECT("C" &amp; (ROW(D75) - D75))</f>
        <v>107</v>
      </c>
      <c r="G75">
        <v>2</v>
      </c>
      <c r="H75">
        <v>130310</v>
      </c>
      <c r="I75" s="28">
        <f t="shared" si="22"/>
        <v>0.25726780055871989</v>
      </c>
      <c r="J75" s="28">
        <f t="shared" si="23"/>
        <v>0.25457897601495305</v>
      </c>
      <c r="L75" s="28">
        <f t="shared" si="21"/>
        <v>-1.3681441728004595</v>
      </c>
      <c r="M75" s="57"/>
      <c r="N75" s="28" cm="1">
        <f t="array" aca="1" ref="N75" ca="1">L75-INDIRECT("L" &amp; (ROW(L75)-D75))</f>
        <v>-0.53222574212011164</v>
      </c>
    </row>
    <row r="76" spans="1:23" x14ac:dyDescent="0.4">
      <c r="A76" s="26"/>
      <c r="B76" s="26">
        <v>0.19583333333333333</v>
      </c>
      <c r="C76" s="55">
        <f t="shared" si="19"/>
        <v>282</v>
      </c>
      <c r="D76">
        <v>7</v>
      </c>
      <c r="E76" s="56" cm="1">
        <f t="array" aca="1" ref="E76" ca="1">C76-INDIRECT("C" &amp; (ROW(D76) - D76))</f>
        <v>139</v>
      </c>
      <c r="G76">
        <v>2</v>
      </c>
      <c r="H76">
        <v>93937</v>
      </c>
      <c r="I76" s="28">
        <f t="shared" si="22"/>
        <v>0.18545748891938046</v>
      </c>
      <c r="J76" s="28">
        <f t="shared" si="23"/>
        <v>0.18216521637864438</v>
      </c>
      <c r="L76" s="28">
        <f t="shared" si="21"/>
        <v>-1.7028412213902615</v>
      </c>
      <c r="N76" s="28" cm="1">
        <f t="array" aca="1" ref="N76" ca="1">L76-INDIRECT("L" &amp; (ROW(L76)-D76))</f>
        <v>-0.86692279070991363</v>
      </c>
    </row>
    <row r="77" spans="1:23" x14ac:dyDescent="0.4">
      <c r="A77" s="26"/>
      <c r="B77" s="26">
        <v>0.22847222222222222</v>
      </c>
      <c r="C77" s="55">
        <f t="shared" si="19"/>
        <v>329</v>
      </c>
      <c r="D77">
        <v>8</v>
      </c>
      <c r="E77" s="56" cm="1">
        <f t="array" aca="1" ref="E77" ca="1">C77-INDIRECT("C" &amp; (ROW(D77) - D77))</f>
        <v>186</v>
      </c>
      <c r="G77">
        <v>2</v>
      </c>
      <c r="H77">
        <v>85078</v>
      </c>
      <c r="I77" s="28">
        <f t="shared" si="22"/>
        <v>0.16796738497379149</v>
      </c>
      <c r="J77" s="28">
        <f t="shared" si="23"/>
        <v>0.16452813676964709</v>
      </c>
      <c r="L77" s="28">
        <f t="shared" si="21"/>
        <v>-1.804673679210717</v>
      </c>
      <c r="N77" s="28" cm="1">
        <f t="array" aca="1" ref="N77" ca="1">L77-INDIRECT("L" &amp; (ROW(L77)-D77))</f>
        <v>-0.9687552485303691</v>
      </c>
    </row>
    <row r="78" spans="1:23" x14ac:dyDescent="0.4">
      <c r="A78" s="26"/>
      <c r="B78" s="26">
        <v>0.26597222222222222</v>
      </c>
      <c r="C78" s="55">
        <f t="shared" si="19"/>
        <v>383</v>
      </c>
      <c r="D78">
        <v>9</v>
      </c>
      <c r="E78" s="56" cm="1">
        <f t="array" aca="1" ref="E78" ca="1">C78-INDIRECT("C" &amp; (ROW(D78) - D78))</f>
        <v>240</v>
      </c>
      <c r="G78">
        <v>2</v>
      </c>
      <c r="H78">
        <v>42215</v>
      </c>
      <c r="I78" s="28">
        <f t="shared" si="22"/>
        <v>8.3344027323968686E-2</v>
      </c>
      <c r="J78" s="28">
        <f t="shared" si="23"/>
        <v>7.9193658467304778E-2</v>
      </c>
      <c r="L78" s="28">
        <f t="shared" ref="L78" si="24">LN(J78)</f>
        <v>-2.5358590532247818</v>
      </c>
      <c r="N78" s="28" cm="1">
        <f t="array" aca="1" ref="N78" ca="1">L78-INDIRECT("L" &amp; (ROW(L78)-D78))</f>
        <v>-1.699940622544434</v>
      </c>
    </row>
    <row r="79" spans="1:23" x14ac:dyDescent="0.4">
      <c r="A79" s="26"/>
      <c r="B79" s="26"/>
      <c r="C79" s="55"/>
      <c r="E79" s="56"/>
      <c r="L79" s="28"/>
      <c r="N79" s="28"/>
    </row>
    <row r="80" spans="1:23" x14ac:dyDescent="0.4">
      <c r="E80" s="56"/>
    </row>
    <row r="81" spans="1:23" s="16" customFormat="1" x14ac:dyDescent="0.4">
      <c r="A81" s="16" t="s">
        <v>86</v>
      </c>
      <c r="I81" s="27"/>
      <c r="J81" s="27"/>
    </row>
    <row r="82" spans="1:23" s="20" customFormat="1" x14ac:dyDescent="0.4">
      <c r="A82" s="19" t="s">
        <v>147</v>
      </c>
      <c r="B82" s="20" t="s">
        <v>127</v>
      </c>
      <c r="I82" s="30"/>
      <c r="J82" s="30"/>
    </row>
    <row r="83" spans="1:23" x14ac:dyDescent="0.4">
      <c r="A83" s="26"/>
      <c r="B83" s="26">
        <v>0.52777777777777779</v>
      </c>
      <c r="C83" s="55">
        <f t="shared" ref="C83:C91" si="25">HOUR(B83)*60+MINUTE(B83)</f>
        <v>760</v>
      </c>
      <c r="D83">
        <v>0</v>
      </c>
      <c r="E83" s="56" cm="1">
        <f t="array" aca="1" ref="E83" ca="1">C83-INDIRECT("C" &amp; (ROW(D83) - D83))</f>
        <v>0</v>
      </c>
      <c r="G83">
        <v>0</v>
      </c>
      <c r="H83">
        <v>227605</v>
      </c>
      <c r="I83" s="28">
        <f>H83/506515</f>
        <v>0.44935490558028884</v>
      </c>
      <c r="J83" s="28">
        <f t="shared" ref="J83:J91" si="26">(I83*240-$C$325*2)/238</f>
        <v>0.44828025838964441</v>
      </c>
      <c r="L83" s="28">
        <f>LN(J83)</f>
        <v>-0.80233666539612825</v>
      </c>
      <c r="M83" s="57">
        <f ca="1">SLOPE(L83:L93, E83:E93)</f>
        <v>-6.757151424504111E-3</v>
      </c>
      <c r="N83" s="28" cm="1">
        <f t="array" aca="1" ref="N83" ca="1">L83-INDIRECT("L" &amp; (ROW(L83)-D83))</f>
        <v>0</v>
      </c>
      <c r="O83" s="57" cm="1">
        <f t="array" aca="1" ref="O83:P87" ca="1">LINEST(_xlfn._xlws.FILTER(N83:N94,NOT(ISBLANK(N83:N94))),_xlfn._xlws.FILTER(E83:E94,NOT(ISBLANK(E83:E94))), FALSE, TRUE)</f>
        <v>-7.1885002013162185E-3</v>
      </c>
      <c r="P83" s="57">
        <f ca="1"/>
        <v>0</v>
      </c>
      <c r="Q83" s="57" cm="1">
        <f t="array" aca="1" ref="Q83:R87" ca="1">LINEST(_xlfn._xlws.FILTER(N83:N94, NOT(ISBLANK(N83:N94))),_xlfn._xlws.FILTER(E83:E94, NOT(ISBLANK(E83:E94))), TRUE, TRUE)</f>
        <v>-6.7571514245041101E-3</v>
      </c>
      <c r="R83" s="57">
        <f ca="1"/>
        <v>-6.9555360835503066E-2</v>
      </c>
      <c r="S83">
        <f ca="1">ABS(O83)</f>
        <v>7.1885002013162185E-3</v>
      </c>
      <c r="T83" cm="1">
        <f t="array" aca="1" ref="T83:U87" ca="1">LINEST(_xlfn._xlws.FILTER(N83:N87, NOT(ISBLANK(N83:N87))),_xlfn._xlws.FILTER(E83:E87, NOT(ISBLANK(E83:E87))), TRUE, TRUE)</f>
        <v>-8.1656851390094192E-3</v>
      </c>
      <c r="U83">
        <f ca="1"/>
        <v>-2.3649720752937642E-2</v>
      </c>
      <c r="V83">
        <f ca="1">S83/(2*'characterization &amp; setup'!$B$102/100)</f>
        <v>8.0792730637439941E-2</v>
      </c>
      <c r="W83">
        <f ca="1">ABS(T83)/(2*'characterization &amp; setup'!$B$102/100)</f>
        <v>9.1775472133302255E-2</v>
      </c>
    </row>
    <row r="84" spans="1:23" x14ac:dyDescent="0.4">
      <c r="A84" s="26"/>
      <c r="B84" s="26">
        <v>0.53819444444444442</v>
      </c>
      <c r="C84" s="55">
        <f t="shared" si="25"/>
        <v>775</v>
      </c>
      <c r="D84">
        <v>1</v>
      </c>
      <c r="E84" s="56" cm="1">
        <f t="array" aca="1" ref="E84" ca="1">C84-INDIRECT("C" &amp; (ROW(D84) - D84))</f>
        <v>15</v>
      </c>
      <c r="G84">
        <v>2</v>
      </c>
      <c r="H84">
        <v>193109</v>
      </c>
      <c r="I84" s="28">
        <f t="shared" ref="I84:I91" si="27">H84/506515</f>
        <v>0.38125030848049912</v>
      </c>
      <c r="J84" s="28">
        <f t="shared" si="26"/>
        <v>0.37960335375120097</v>
      </c>
      <c r="L84" s="28">
        <f t="shared" ref="L84:L91" si="28">LN(J84)</f>
        <v>-0.96862837732437812</v>
      </c>
      <c r="M84" s="57"/>
      <c r="N84" s="28" cm="1">
        <f t="array" aca="1" ref="N84" ca="1">L84-INDIRECT("L" &amp; (ROW(L84)-D84))</f>
        <v>-0.16629171192824987</v>
      </c>
      <c r="O84" s="57">
        <f ca="1"/>
        <v>2.3999340672930085E-4</v>
      </c>
      <c r="P84" s="57" t="e">
        <f ca="1"/>
        <v>#N/A</v>
      </c>
      <c r="Q84" s="57">
        <f ca="1"/>
        <v>2.6554923549603436E-4</v>
      </c>
      <c r="R84">
        <f ca="1"/>
        <v>3.0747410520826999E-2</v>
      </c>
      <c r="T84">
        <f ca="1"/>
        <v>3.2840034483301632E-4</v>
      </c>
      <c r="U84">
        <f ca="1"/>
        <v>1.4489862798929781E-2</v>
      </c>
    </row>
    <row r="85" spans="1:23" x14ac:dyDescent="0.4">
      <c r="A85" s="26"/>
      <c r="B85" s="26">
        <v>0.55000000000000004</v>
      </c>
      <c r="C85" s="55">
        <f t="shared" si="25"/>
        <v>792</v>
      </c>
      <c r="D85">
        <v>2</v>
      </c>
      <c r="E85" s="56" cm="1">
        <f t="array" aca="1" ref="E85" ca="1">C85-INDIRECT("C" &amp; (ROW(D85) - D85))</f>
        <v>32</v>
      </c>
      <c r="G85">
        <v>2</v>
      </c>
      <c r="H85">
        <v>169902</v>
      </c>
      <c r="I85" s="28">
        <f t="shared" si="27"/>
        <v>0.33543330404825128</v>
      </c>
      <c r="J85" s="28">
        <f t="shared" si="26"/>
        <v>0.33340133247498466</v>
      </c>
      <c r="L85" s="28">
        <f t="shared" si="28"/>
        <v>-1.098408312047801</v>
      </c>
      <c r="M85" s="57"/>
      <c r="N85" s="28" cm="1">
        <f t="array" aca="1" ref="N85" ca="1">L85-INDIRECT("L" &amp; (ROW(L85)-D85))</f>
        <v>-0.29607164665167274</v>
      </c>
      <c r="O85" s="57">
        <f ca="1"/>
        <v>0.99335678123814442</v>
      </c>
      <c r="P85" s="57">
        <f ca="1"/>
        <v>7.3521070427128382E-2</v>
      </c>
      <c r="Q85" s="57">
        <f ca="1"/>
        <v>0.99233711956131598</v>
      </c>
      <c r="R85">
        <f ca="1"/>
        <v>5.6617972353959663E-2</v>
      </c>
      <c r="T85">
        <f ca="1"/>
        <v>0.99517118025035012</v>
      </c>
      <c r="U85">
        <f ca="1"/>
        <v>1.9918502908761248E-2</v>
      </c>
    </row>
    <row r="86" spans="1:23" x14ac:dyDescent="0.4">
      <c r="A86" s="26"/>
      <c r="B86" s="26">
        <v>0.56180555555555556</v>
      </c>
      <c r="C86" s="55">
        <f t="shared" si="25"/>
        <v>809</v>
      </c>
      <c r="D86">
        <v>3</v>
      </c>
      <c r="E86" s="56" cm="1">
        <f t="array" aca="1" ref="E86" ca="1">C86-INDIRECT("C" &amp; (ROW(D86) - D86))</f>
        <v>49</v>
      </c>
      <c r="G86">
        <v>2</v>
      </c>
      <c r="H86">
        <v>149505</v>
      </c>
      <c r="I86" s="28">
        <f t="shared" si="27"/>
        <v>0.29516401291175975</v>
      </c>
      <c r="J86" s="28">
        <f t="shared" si="26"/>
        <v>0.29279364393398483</v>
      </c>
      <c r="L86" s="28">
        <f t="shared" si="28"/>
        <v>-1.2282872050063347</v>
      </c>
      <c r="M86" s="57"/>
      <c r="N86" s="28" cm="1">
        <f t="array" aca="1" ref="N86" ca="1">L86-INDIRECT("L" &amp; (ROW(L86)-D86))</f>
        <v>-0.42595053961020646</v>
      </c>
      <c r="O86" s="57">
        <f ca="1"/>
        <v>897.1766399822759</v>
      </c>
      <c r="P86" s="57">
        <f ca="1"/>
        <v>6</v>
      </c>
      <c r="Q86" s="57">
        <f ca="1"/>
        <v>647.49615206820351</v>
      </c>
      <c r="R86">
        <f ca="1"/>
        <v>5</v>
      </c>
      <c r="T86">
        <f ca="1"/>
        <v>618.26982482988069</v>
      </c>
      <c r="U86">
        <f ca="1"/>
        <v>3</v>
      </c>
    </row>
    <row r="87" spans="1:23" x14ac:dyDescent="0.4">
      <c r="A87" s="26"/>
      <c r="B87" s="26">
        <v>0.58194444444444449</v>
      </c>
      <c r="C87" s="55">
        <f t="shared" si="25"/>
        <v>838</v>
      </c>
      <c r="D87">
        <v>4</v>
      </c>
      <c r="E87" s="56" cm="1">
        <f t="array" aca="1" ref="E87" ca="1">C87-INDIRECT("C" &amp; (ROW(D87) - D87))</f>
        <v>78</v>
      </c>
      <c r="G87">
        <v>2</v>
      </c>
      <c r="H87">
        <v>119895</v>
      </c>
      <c r="I87" s="28">
        <f t="shared" si="27"/>
        <v>0.23670572441092563</v>
      </c>
      <c r="J87" s="28">
        <f t="shared" si="26"/>
        <v>0.23384410931129498</v>
      </c>
      <c r="L87" s="28">
        <f t="shared" si="28"/>
        <v>-1.4531005851583263</v>
      </c>
      <c r="M87" s="57"/>
      <c r="N87" s="28" cm="1">
        <f t="array" aca="1" ref="N87" ca="1">L87-INDIRECT("L" &amp; (ROW(L87)-D87))</f>
        <v>-0.65076391976219805</v>
      </c>
      <c r="O87" s="57">
        <f ca="1"/>
        <v>4.8495517742244552</v>
      </c>
      <c r="P87" s="57">
        <f ca="1"/>
        <v>3.2432086780504632E-2</v>
      </c>
      <c r="Q87" s="57">
        <f ca="1"/>
        <v>2.0756102938641146</v>
      </c>
      <c r="R87">
        <f ca="1"/>
        <v>1.6027973967368703E-2</v>
      </c>
      <c r="T87">
        <f ca="1"/>
        <v>0.2452965486485893</v>
      </c>
      <c r="U87">
        <f ca="1"/>
        <v>1.1902402743789911E-3</v>
      </c>
    </row>
    <row r="88" spans="1:23" x14ac:dyDescent="0.4">
      <c r="A88" s="26"/>
      <c r="B88" s="26">
        <v>0.60624999999999996</v>
      </c>
      <c r="C88" s="55">
        <f t="shared" si="25"/>
        <v>873</v>
      </c>
      <c r="D88">
        <v>5</v>
      </c>
      <c r="E88" s="56"/>
      <c r="F88" t="s">
        <v>84</v>
      </c>
      <c r="G88">
        <v>2</v>
      </c>
      <c r="H88">
        <v>124897</v>
      </c>
      <c r="I88" s="28">
        <f t="shared" si="27"/>
        <v>0.2465810489324107</v>
      </c>
      <c r="J88" s="28">
        <f t="shared" si="26"/>
        <v>0.24380241975312866</v>
      </c>
      <c r="L88" s="28"/>
      <c r="M88" s="57"/>
      <c r="N88" s="28"/>
    </row>
    <row r="89" spans="1:23" x14ac:dyDescent="0.4">
      <c r="A89" s="26"/>
      <c r="B89" s="26">
        <v>0.63194444444444442</v>
      </c>
      <c r="C89" s="55">
        <f t="shared" si="25"/>
        <v>910</v>
      </c>
      <c r="D89">
        <v>6</v>
      </c>
      <c r="E89" s="56"/>
      <c r="F89" t="s">
        <v>84</v>
      </c>
      <c r="G89">
        <v>2</v>
      </c>
      <c r="H89">
        <v>94362</v>
      </c>
      <c r="I89" s="28">
        <f t="shared" si="27"/>
        <v>0.18629655587692368</v>
      </c>
      <c r="J89" s="28">
        <f t="shared" si="26"/>
        <v>0.18301133431902408</v>
      </c>
      <c r="L89" s="28"/>
      <c r="M89" s="57"/>
      <c r="N89" s="28"/>
    </row>
    <row r="90" spans="1:23" x14ac:dyDescent="0.4">
      <c r="A90" s="26"/>
      <c r="B90" s="26">
        <v>0.65486111111111112</v>
      </c>
      <c r="C90" s="55">
        <f t="shared" si="25"/>
        <v>943</v>
      </c>
      <c r="D90">
        <v>7</v>
      </c>
      <c r="E90" s="56" cm="1">
        <f t="array" aca="1" ref="E90" ca="1">C90-INDIRECT("C" &amp; (ROW(D90) - D90))</f>
        <v>183</v>
      </c>
      <c r="G90">
        <v>2</v>
      </c>
      <c r="H90">
        <v>60284</v>
      </c>
      <c r="I90" s="28">
        <f t="shared" si="27"/>
        <v>0.11901720580831762</v>
      </c>
      <c r="J90" s="28">
        <f t="shared" si="26"/>
        <v>0.11516661156076588</v>
      </c>
      <c r="L90" s="28">
        <f t="shared" si="28"/>
        <v>-2.1613754029309211</v>
      </c>
      <c r="N90" s="28" cm="1">
        <f t="array" aca="1" ref="N90" ca="1">L90-INDIRECT("L" &amp; (ROW(L90)-D90))</f>
        <v>-1.3590387375347928</v>
      </c>
    </row>
    <row r="91" spans="1:23" x14ac:dyDescent="0.4">
      <c r="A91" s="26"/>
      <c r="B91" s="26">
        <v>0.68402777777777779</v>
      </c>
      <c r="C91" s="55">
        <f t="shared" si="25"/>
        <v>985</v>
      </c>
      <c r="D91">
        <v>8</v>
      </c>
      <c r="E91" s="56" cm="1">
        <f t="array" aca="1" ref="E91" ca="1">C91-INDIRECT("C" &amp; (ROW(D91) - D91))</f>
        <v>225</v>
      </c>
      <c r="G91">
        <v>2</v>
      </c>
      <c r="H91">
        <v>51613</v>
      </c>
      <c r="I91" s="28">
        <f t="shared" si="27"/>
        <v>0.10189826559924188</v>
      </c>
      <c r="J91" s="28">
        <f t="shared" si="26"/>
        <v>9.7903814711277737E-2</v>
      </c>
      <c r="L91" s="28">
        <f t="shared" si="28"/>
        <v>-2.3237697648189224</v>
      </c>
      <c r="N91" s="28" cm="1">
        <f t="array" aca="1" ref="N91" ca="1">L91-INDIRECT("L" &amp; (ROW(L91)-D91))</f>
        <v>-1.521433099422794</v>
      </c>
    </row>
    <row r="92" spans="1:23" x14ac:dyDescent="0.4">
      <c r="A92" s="26"/>
      <c r="B92" s="26"/>
      <c r="C92" s="55"/>
      <c r="E92" s="56"/>
      <c r="L92" s="28"/>
      <c r="N92" s="28"/>
    </row>
    <row r="93" spans="1:23" x14ac:dyDescent="0.4">
      <c r="A93" s="26"/>
      <c r="B93" s="26"/>
      <c r="C93" s="55"/>
      <c r="E93" s="56"/>
      <c r="L93" s="28"/>
      <c r="N93" s="28"/>
    </row>
    <row r="94" spans="1:23" x14ac:dyDescent="0.4">
      <c r="A94" s="26" t="s">
        <v>87</v>
      </c>
      <c r="E94" s="56"/>
    </row>
    <row r="95" spans="1:23" s="20" customFormat="1" x14ac:dyDescent="0.4">
      <c r="A95" s="19" t="s">
        <v>146</v>
      </c>
      <c r="B95" s="20" t="s">
        <v>127</v>
      </c>
      <c r="I95" s="30"/>
      <c r="J95" s="30"/>
    </row>
    <row r="96" spans="1:23" x14ac:dyDescent="0.4">
      <c r="A96" s="26"/>
      <c r="B96" s="26">
        <v>0.52916666666666667</v>
      </c>
      <c r="C96" s="55">
        <f t="shared" ref="C96:C104" si="29">HOUR(B96)*60+MINUTE(B96)</f>
        <v>762</v>
      </c>
      <c r="D96">
        <v>0</v>
      </c>
      <c r="E96" s="56" cm="1">
        <f t="array" aca="1" ref="E96" ca="1">C96-INDIRECT("C" &amp; (ROW(D96) - D96))</f>
        <v>0</v>
      </c>
      <c r="G96">
        <v>0</v>
      </c>
      <c r="H96">
        <v>214317</v>
      </c>
      <c r="I96" s="28">
        <f>H96/506515</f>
        <v>0.42312073679950246</v>
      </c>
      <c r="J96" s="28">
        <f t="shared" ref="J96:J104" si="30">(I96*240-$C$325*2)/238</f>
        <v>0.42182563440901949</v>
      </c>
      <c r="L96" s="28">
        <f>LN(J96)</f>
        <v>-0.86316323893627689</v>
      </c>
      <c r="M96" s="57">
        <f ca="1">SLOPE(L96:L106, E96:E106)</f>
        <v>-7.2096611060018098E-3</v>
      </c>
      <c r="N96" s="28" cm="1">
        <f t="array" aca="1" ref="N96" ca="1">L96-INDIRECT("L" &amp; (ROW(L96)-D96))</f>
        <v>0</v>
      </c>
      <c r="O96" s="57" cm="1">
        <f t="array" aca="1" ref="O96:P100" ca="1">LINEST(_xlfn._xlws.FILTER(N96:N107,NOT(ISBLANK(N96:N107))),_xlfn._xlws.FILTER(E96:E107,NOT(ISBLANK(E96:E107))), FALSE, TRUE)</f>
        <v>-7.3688396489036013E-3</v>
      </c>
      <c r="P96" s="57">
        <f ca="1"/>
        <v>0</v>
      </c>
      <c r="Q96" s="57" cm="1">
        <f t="array" aca="1" ref="Q96:R100" ca="1">LINEST(_xlfn._xlws.FILTER(N96:N107, NOT(ISBLANK(N96:N107))),_xlfn._xlws.FILTER(E96:E107, NOT(ISBLANK(E96:E107))), TRUE, TRUE)</f>
        <v>-7.2096611060018098E-3</v>
      </c>
      <c r="R96" s="57">
        <f ca="1"/>
        <v>-2.6141316107103352E-2</v>
      </c>
      <c r="S96">
        <f ca="1">ABS(O96)</f>
        <v>7.3688396489036013E-3</v>
      </c>
      <c r="T96" cm="1">
        <f t="array" aca="1" ref="T96:U100" ca="1">LINEST(_xlfn._xlws.FILTER(N96:N100, NOT(ISBLANK(N96:N100))),_xlfn._xlws.FILTER(E96:E100, NOT(ISBLANK(E96:E100))), TRUE, TRUE)</f>
        <v>-7.8716760634601861E-3</v>
      </c>
      <c r="U96">
        <f ca="1"/>
        <v>7.8295111440751519E-5</v>
      </c>
      <c r="V96">
        <f ca="1">S96/(2*'characterization &amp; setup'!$B$102/100)</f>
        <v>8.2819595213386443E-2</v>
      </c>
      <c r="W96">
        <f ca="1">ABS(T96)/(2*'characterization &amp; setup'!$B$102/100)</f>
        <v>8.8471055999118586E-2</v>
      </c>
    </row>
    <row r="97" spans="1:23" x14ac:dyDescent="0.4">
      <c r="A97" s="26"/>
      <c r="B97" s="26">
        <v>0.53888888888888886</v>
      </c>
      <c r="C97" s="55">
        <f t="shared" si="29"/>
        <v>776</v>
      </c>
      <c r="D97">
        <v>1</v>
      </c>
      <c r="E97" s="56"/>
      <c r="G97">
        <v>2</v>
      </c>
      <c r="I97" s="28">
        <f t="shared" ref="I97:I104" si="31">H97/506515</f>
        <v>0</v>
      </c>
      <c r="J97" s="28">
        <f t="shared" si="30"/>
        <v>-4.8507388341762544E-3</v>
      </c>
      <c r="L97" s="28"/>
      <c r="M97" s="57"/>
      <c r="N97" s="28"/>
      <c r="O97" s="57">
        <f ca="1"/>
        <v>2.653729052638212E-4</v>
      </c>
      <c r="P97" s="57" t="e">
        <f ca="1"/>
        <v>#N/A</v>
      </c>
      <c r="Q97" s="57">
        <f ca="1"/>
        <v>4.3963136604898898E-4</v>
      </c>
      <c r="R97">
        <f ca="1"/>
        <v>5.447734547341225E-2</v>
      </c>
      <c r="T97">
        <f ca="1"/>
        <v>1.9430057411088503E-3</v>
      </c>
      <c r="U97">
        <f ca="1"/>
        <v>9.3152891023271622E-2</v>
      </c>
    </row>
    <row r="98" spans="1:23" x14ac:dyDescent="0.4">
      <c r="A98" s="26"/>
      <c r="B98" s="26">
        <v>0.55069444444444449</v>
      </c>
      <c r="C98" s="55">
        <f t="shared" si="29"/>
        <v>793</v>
      </c>
      <c r="D98">
        <v>2</v>
      </c>
      <c r="E98" s="56" cm="1">
        <f t="array" aca="1" ref="E98" ca="1">C98-INDIRECT("C" &amp; (ROW(D98) - D98))</f>
        <v>31</v>
      </c>
      <c r="G98">
        <v>2</v>
      </c>
      <c r="H98">
        <v>181938</v>
      </c>
      <c r="I98" s="28">
        <f t="shared" si="31"/>
        <v>0.35919568028587506</v>
      </c>
      <c r="J98" s="28">
        <f t="shared" si="30"/>
        <v>0.35736339254653804</v>
      </c>
      <c r="L98" s="28">
        <f t="shared" ref="L98:L104" si="32">LN(J98)</f>
        <v>-1.0290021086249908</v>
      </c>
      <c r="M98" s="57"/>
      <c r="N98" s="28" cm="1">
        <f t="array" aca="1" ref="N98" ca="1">L98-INDIRECT("L" &amp; (ROW(L98)-D98))</f>
        <v>-0.16583886968871386</v>
      </c>
      <c r="O98" s="57">
        <f ca="1"/>
        <v>0.99355715319903215</v>
      </c>
      <c r="P98" s="57">
        <f ca="1"/>
        <v>8.0548873598951867E-2</v>
      </c>
      <c r="Q98" s="57">
        <f ca="1"/>
        <v>0.98534466337176774</v>
      </c>
      <c r="R98">
        <f ca="1"/>
        <v>8.7571103082320814E-2</v>
      </c>
      <c r="T98">
        <f ca="1"/>
        <v>0.89138070824350124</v>
      </c>
      <c r="U98">
        <f ca="1"/>
        <v>0.10835632779881328</v>
      </c>
    </row>
    <row r="99" spans="1:23" x14ac:dyDescent="0.4">
      <c r="A99" s="26"/>
      <c r="B99" s="26">
        <v>0.5625</v>
      </c>
      <c r="C99" s="55">
        <f t="shared" si="29"/>
        <v>810</v>
      </c>
      <c r="D99">
        <v>3</v>
      </c>
      <c r="E99" s="56" cm="1">
        <f t="array" aca="1" ref="E99" ca="1">C99-INDIRECT("C" &amp; (ROW(D99) - D99))</f>
        <v>48</v>
      </c>
      <c r="G99">
        <v>2</v>
      </c>
      <c r="H99">
        <v>130763</v>
      </c>
      <c r="I99" s="28">
        <f t="shared" si="31"/>
        <v>0.25816214722170122</v>
      </c>
      <c r="J99" s="28">
        <f t="shared" si="30"/>
        <v>0.25548083819611073</v>
      </c>
      <c r="L99" s="28">
        <f t="shared" si="32"/>
        <v>-1.3646078694263104</v>
      </c>
      <c r="M99" s="57"/>
      <c r="N99" s="28" cm="1">
        <f t="array" aca="1" ref="N99" ca="1">L99-INDIRECT("L" &amp; (ROW(L99)-D99))</f>
        <v>-0.50144463049003352</v>
      </c>
      <c r="O99" s="57">
        <f ca="1"/>
        <v>771.05446077795182</v>
      </c>
      <c r="P99" s="57">
        <f ca="1"/>
        <v>5</v>
      </c>
      <c r="Q99" s="57">
        <f ca="1"/>
        <v>268.93811813877625</v>
      </c>
      <c r="R99">
        <f ca="1"/>
        <v>4</v>
      </c>
      <c r="T99">
        <f ca="1"/>
        <v>16.412935378768378</v>
      </c>
      <c r="U99">
        <f ca="1"/>
        <v>2</v>
      </c>
    </row>
    <row r="100" spans="1:23" x14ac:dyDescent="0.4">
      <c r="A100" s="26"/>
      <c r="B100" s="26">
        <v>0.58263888888888893</v>
      </c>
      <c r="C100" s="55">
        <f t="shared" si="29"/>
        <v>839</v>
      </c>
      <c r="D100">
        <v>4</v>
      </c>
      <c r="E100" s="56" cm="1">
        <f t="array" aca="1" ref="E100" ca="1">C100-INDIRECT("C" &amp; (ROW(D100) - D100))</f>
        <v>77</v>
      </c>
      <c r="G100">
        <v>2</v>
      </c>
      <c r="H100">
        <v>123418</v>
      </c>
      <c r="I100" s="28">
        <f t="shared" si="31"/>
        <v>0.2436610959201603</v>
      </c>
      <c r="J100" s="28">
        <f t="shared" si="30"/>
        <v>0.24085792932060726</v>
      </c>
      <c r="L100" s="28">
        <f t="shared" si="32"/>
        <v>-1.4235480242115555</v>
      </c>
      <c r="M100" s="57"/>
      <c r="N100" s="28" cm="1">
        <f t="array" aca="1" ref="N100" ca="1">L100-INDIRECT("L" &amp; (ROW(L100)-D100))</f>
        <v>-0.56038478527527857</v>
      </c>
      <c r="O100" s="57">
        <f ca="1"/>
        <v>5.0026946684633797</v>
      </c>
      <c r="P100" s="57">
        <f ca="1"/>
        <v>3.2440605190299621E-2</v>
      </c>
      <c r="Q100" s="57">
        <f ca="1"/>
        <v>2.0624052342583643</v>
      </c>
      <c r="R100">
        <f ca="1"/>
        <v>3.0674792380217836E-2</v>
      </c>
      <c r="T100">
        <f ca="1"/>
        <v>0.19270581338944184</v>
      </c>
      <c r="U100">
        <f ca="1"/>
        <v>2.348218754808775E-2</v>
      </c>
    </row>
    <row r="101" spans="1:23" x14ac:dyDescent="0.4">
      <c r="A101" s="26"/>
      <c r="B101" s="26">
        <v>0.60624999999999996</v>
      </c>
      <c r="C101" s="55">
        <f t="shared" si="29"/>
        <v>873</v>
      </c>
      <c r="D101">
        <v>5</v>
      </c>
      <c r="E101" s="56"/>
      <c r="F101" t="s">
        <v>84</v>
      </c>
      <c r="G101">
        <v>2</v>
      </c>
      <c r="H101">
        <v>106849</v>
      </c>
      <c r="I101" s="28">
        <f t="shared" si="31"/>
        <v>0.21094933022714035</v>
      </c>
      <c r="J101" s="28">
        <f t="shared" si="30"/>
        <v>0.207871274840251</v>
      </c>
      <c r="L101" s="28"/>
      <c r="M101" s="57"/>
      <c r="N101" s="28"/>
    </row>
    <row r="102" spans="1:23" x14ac:dyDescent="0.4">
      <c r="A102" s="26"/>
      <c r="B102" s="26">
        <v>0.63263888888888886</v>
      </c>
      <c r="C102" s="55">
        <f t="shared" si="29"/>
        <v>911</v>
      </c>
      <c r="D102">
        <v>6</v>
      </c>
      <c r="E102" s="56"/>
      <c r="F102" t="s">
        <v>84</v>
      </c>
      <c r="G102">
        <v>2</v>
      </c>
      <c r="H102">
        <v>96569</v>
      </c>
      <c r="I102" s="28">
        <f t="shared" si="31"/>
        <v>0.19065378123056573</v>
      </c>
      <c r="J102" s="28">
        <f t="shared" si="30"/>
        <v>0.18740517501177237</v>
      </c>
      <c r="L102" s="28"/>
      <c r="M102" s="57"/>
      <c r="N102" s="28"/>
    </row>
    <row r="103" spans="1:23" x14ac:dyDescent="0.4">
      <c r="A103" s="26"/>
      <c r="B103" s="26">
        <v>0.65486111111111112</v>
      </c>
      <c r="C103" s="55">
        <f t="shared" si="29"/>
        <v>943</v>
      </c>
      <c r="D103">
        <v>7</v>
      </c>
      <c r="E103" s="56" cm="1">
        <f t="array" aca="1" ref="E103" ca="1">C103-INDIRECT("C" &amp; (ROW(D103) - D103))</f>
        <v>181</v>
      </c>
      <c r="G103">
        <v>2</v>
      </c>
      <c r="H103">
        <v>55429</v>
      </c>
      <c r="I103" s="28">
        <f t="shared" si="31"/>
        <v>0.10943209974038282</v>
      </c>
      <c r="J103" s="28">
        <f t="shared" si="30"/>
        <v>0.1055009583830165</v>
      </c>
      <c r="L103" s="28">
        <f t="shared" si="32"/>
        <v>-2.2490352419080684</v>
      </c>
      <c r="N103" s="28" cm="1">
        <f t="array" aca="1" ref="N103" ca="1">L103-INDIRECT("L" &amp; (ROW(L103)-D103))</f>
        <v>-1.3858720029717915</v>
      </c>
    </row>
    <row r="104" spans="1:23" x14ac:dyDescent="0.4">
      <c r="A104" s="26"/>
      <c r="B104" s="26">
        <v>0.68472222222222223</v>
      </c>
      <c r="C104" s="55">
        <f t="shared" si="29"/>
        <v>986</v>
      </c>
      <c r="D104">
        <v>8</v>
      </c>
      <c r="E104" s="56" cm="1">
        <f t="array" aca="1" ref="E104" ca="1">C104-INDIRECT("C" &amp; (ROW(D104) - D104))</f>
        <v>224</v>
      </c>
      <c r="G104">
        <v>2</v>
      </c>
      <c r="H104">
        <v>45734</v>
      </c>
      <c r="I104" s="28">
        <f t="shared" si="31"/>
        <v>9.0291501732426477E-2</v>
      </c>
      <c r="J104" s="28">
        <f t="shared" si="30"/>
        <v>8.6199515013648767E-2</v>
      </c>
      <c r="L104" s="28">
        <f t="shared" si="32"/>
        <v>-2.4510907276200951</v>
      </c>
      <c r="N104" s="28" cm="1">
        <f t="array" aca="1" ref="N104" ca="1">L104-INDIRECT("L" &amp; (ROW(L104)-D104))</f>
        <v>-1.5879274886838182</v>
      </c>
    </row>
    <row r="105" spans="1:23" x14ac:dyDescent="0.4">
      <c r="A105" s="26"/>
      <c r="B105" s="26"/>
      <c r="C105" s="55"/>
      <c r="E105" s="56"/>
      <c r="L105" s="28"/>
      <c r="N105" s="28"/>
    </row>
    <row r="106" spans="1:23" x14ac:dyDescent="0.4">
      <c r="A106" s="26"/>
      <c r="B106" s="26"/>
      <c r="C106" s="55"/>
      <c r="E106" s="56"/>
    </row>
    <row r="108" spans="1:23" s="20" customFormat="1" x14ac:dyDescent="0.4">
      <c r="A108" s="54" t="s">
        <v>145</v>
      </c>
      <c r="B108" s="20" t="s">
        <v>127</v>
      </c>
      <c r="I108" s="30"/>
      <c r="J108" s="30"/>
    </row>
    <row r="109" spans="1:23" x14ac:dyDescent="0.4">
      <c r="A109" s="26"/>
      <c r="B109" s="26">
        <v>0.52986111111111112</v>
      </c>
      <c r="C109" s="55">
        <f t="shared" ref="C109:C117" si="33">HOUR(B109)*60+MINUTE(B109)</f>
        <v>763</v>
      </c>
      <c r="D109">
        <v>0</v>
      </c>
      <c r="E109" s="56" cm="1">
        <f t="array" aca="1" ref="E109" ca="1">C109-INDIRECT("C" &amp; (ROW(D109) - D109))</f>
        <v>0</v>
      </c>
      <c r="G109">
        <v>0</v>
      </c>
      <c r="H109">
        <v>218269</v>
      </c>
      <c r="I109" s="28">
        <f>H109/506515</f>
        <v>0.43092307236705724</v>
      </c>
      <c r="J109" s="28">
        <f t="shared" ref="J109:J117" si="34">(I109*240-$C$325*2)/238</f>
        <v>0.42969353582167974</v>
      </c>
      <c r="L109" s="28">
        <f>LN(J109)</f>
        <v>-0.8446830317826225</v>
      </c>
      <c r="M109" s="57">
        <f ca="1">SLOPE(L109:L119, E109:E119)</f>
        <v>-7.5631496818427098E-3</v>
      </c>
      <c r="N109" s="28" cm="1">
        <f t="array" aca="1" ref="N109" ca="1">L109-INDIRECT("L" &amp; (ROW(L109)-D109))</f>
        <v>0</v>
      </c>
      <c r="O109" s="57" cm="1">
        <f t="array" aca="1" ref="O109:P113" ca="1">LINEST(_xlfn._xlws.FILTER(N109:N120,NOT(ISBLANK(N109:N120))),_xlfn._xlws.FILTER(E109:E120,NOT(ISBLANK(E109:E120))), FALSE, TRUE)</f>
        <v>-7.8575599979568075E-3</v>
      </c>
      <c r="P109" s="57">
        <f ca="1"/>
        <v>0</v>
      </c>
      <c r="Q109" s="57" cm="1">
        <f t="array" aca="1" ref="Q109:R113" ca="1">LINEST(_xlfn._xlws.FILTER(N109:N120, NOT(ISBLANK(N109:N120))),_xlfn._xlws.FILTER(E109:E120, NOT(ISBLANK(E109:E120))), TRUE, TRUE)</f>
        <v>-7.5631496818427089E-3</v>
      </c>
      <c r="R109" s="57">
        <f ca="1"/>
        <v>-4.840421036540199E-2</v>
      </c>
      <c r="S109">
        <f ca="1">ABS(O109)</f>
        <v>7.8575599979568075E-3</v>
      </c>
      <c r="T109" cm="1">
        <f t="array" aca="1" ref="T109:U113" ca="1">LINEST(_xlfn._xlws.FILTER(N109:N113, NOT(ISBLANK(N109:N113))),_xlfn._xlws.FILTER(E109:E113, NOT(ISBLANK(E109:E113))), TRUE, TRUE)</f>
        <v>-8.329685591743928E-3</v>
      </c>
      <c r="U109">
        <f ca="1"/>
        <v>-1.4838627000651528E-2</v>
      </c>
      <c r="V109">
        <f ca="1">S109/(2*'characterization &amp; setup'!$B$102/100)</f>
        <v>8.8312403227895728E-2</v>
      </c>
      <c r="W109">
        <f ca="1">ABS(T109)/(2*'characterization &amp; setup'!$B$102/100)</f>
        <v>9.3618700071137095E-2</v>
      </c>
    </row>
    <row r="110" spans="1:23" x14ac:dyDescent="0.4">
      <c r="A110" s="26"/>
      <c r="B110" s="26">
        <v>0.5395833333333333</v>
      </c>
      <c r="C110" s="55">
        <f t="shared" si="33"/>
        <v>777</v>
      </c>
      <c r="D110">
        <v>1</v>
      </c>
      <c r="E110" s="56"/>
      <c r="G110">
        <v>2</v>
      </c>
      <c r="I110" s="28">
        <f t="shared" ref="I110:I117" si="35">H110/506515</f>
        <v>0</v>
      </c>
      <c r="J110" s="28">
        <f t="shared" si="34"/>
        <v>-4.8507388341762544E-3</v>
      </c>
      <c r="L110" s="28"/>
      <c r="M110" s="57"/>
      <c r="N110" s="28"/>
      <c r="O110" s="57">
        <f ca="1"/>
        <v>2.8793986093728833E-4</v>
      </c>
      <c r="P110" s="57" t="e">
        <f ca="1"/>
        <v>#N/A</v>
      </c>
      <c r="Q110" s="57">
        <f ca="1"/>
        <v>4.4894644960261402E-4</v>
      </c>
      <c r="R110">
        <f ca="1"/>
        <v>5.56132131305377E-2</v>
      </c>
      <c r="T110">
        <f ca="1"/>
        <v>7.8160867106550193E-4</v>
      </c>
      <c r="U110">
        <f ca="1"/>
        <v>3.7347892656132871E-2</v>
      </c>
    </row>
    <row r="111" spans="1:23" x14ac:dyDescent="0.4">
      <c r="A111" s="26"/>
      <c r="B111" s="26">
        <v>0.55069444444444449</v>
      </c>
      <c r="C111" s="55">
        <f t="shared" si="33"/>
        <v>793</v>
      </c>
      <c r="D111">
        <v>2</v>
      </c>
      <c r="E111" s="56" cm="1">
        <f t="array" aca="1" ref="E111" ca="1">C111-INDIRECT("C" &amp; (ROW(D111) - D111))</f>
        <v>30</v>
      </c>
      <c r="G111">
        <v>2</v>
      </c>
      <c r="H111">
        <v>160452</v>
      </c>
      <c r="I111" s="28">
        <f t="shared" si="35"/>
        <v>0.31677640346287866</v>
      </c>
      <c r="J111" s="28">
        <f t="shared" si="34"/>
        <v>0.31458765121242405</v>
      </c>
      <c r="L111" s="28">
        <f t="shared" ref="L111:L117" si="36">LN(J111)</f>
        <v>-1.1564925414728411</v>
      </c>
      <c r="M111" s="57"/>
      <c r="N111" s="28" cm="1">
        <f t="array" aca="1" ref="N111" ca="1">L111-INDIRECT("L" &amp; (ROW(L111)-D111))</f>
        <v>-0.31180950969021859</v>
      </c>
      <c r="O111" s="57">
        <f ca="1"/>
        <v>0.99333052032686908</v>
      </c>
      <c r="P111" s="57">
        <f ca="1"/>
        <v>8.7369703553188141E-2</v>
      </c>
      <c r="Q111" s="57">
        <f ca="1"/>
        <v>0.98610158296642725</v>
      </c>
      <c r="R111">
        <f ca="1"/>
        <v>8.9568285930669914E-2</v>
      </c>
      <c r="T111">
        <f ca="1"/>
        <v>0.98269505255712497</v>
      </c>
      <c r="U111">
        <f ca="1"/>
        <v>4.3705485406189411E-2</v>
      </c>
    </row>
    <row r="112" spans="1:23" x14ac:dyDescent="0.4">
      <c r="A112" s="26"/>
      <c r="B112" s="26">
        <v>0.56319444444444444</v>
      </c>
      <c r="C112" s="55">
        <f t="shared" si="33"/>
        <v>811</v>
      </c>
      <c r="D112">
        <v>3</v>
      </c>
      <c r="E112" s="56" cm="1">
        <f t="array" aca="1" ref="E112" ca="1">C112-INDIRECT("C" &amp; (ROW(D112) - D112))</f>
        <v>48</v>
      </c>
      <c r="G112">
        <v>2</v>
      </c>
      <c r="H112">
        <v>150367</v>
      </c>
      <c r="I112" s="28">
        <f t="shared" si="35"/>
        <v>0.29686583812917683</v>
      </c>
      <c r="J112" s="28">
        <f t="shared" si="34"/>
        <v>0.29450977020364905</v>
      </c>
      <c r="L112" s="28">
        <f t="shared" si="36"/>
        <v>-1.2224431008766192</v>
      </c>
      <c r="M112" s="57"/>
      <c r="N112" s="28" cm="1">
        <f t="array" aca="1" ref="N112" ca="1">L112-INDIRECT("L" &amp; (ROW(L112)-D112))</f>
        <v>-0.37776006909399673</v>
      </c>
      <c r="O112" s="57">
        <f ca="1"/>
        <v>744.68367024842075</v>
      </c>
      <c r="P112" s="57">
        <f ca="1"/>
        <v>5</v>
      </c>
      <c r="Q112" s="57">
        <f ca="1"/>
        <v>283.80255984100046</v>
      </c>
      <c r="R112">
        <f ca="1"/>
        <v>4</v>
      </c>
      <c r="T112">
        <f ca="1"/>
        <v>113.573884670968</v>
      </c>
      <c r="U112">
        <f ca="1"/>
        <v>2</v>
      </c>
    </row>
    <row r="113" spans="1:23" x14ac:dyDescent="0.4">
      <c r="A113" s="26"/>
      <c r="B113" s="26">
        <v>0.58333333333333337</v>
      </c>
      <c r="C113" s="55">
        <f t="shared" si="33"/>
        <v>840</v>
      </c>
      <c r="D113">
        <v>4</v>
      </c>
      <c r="E113" s="56" cm="1">
        <f t="array" aca="1" ref="E113" ca="1">C113-INDIRECT("C" &amp; (ROW(D113) - D113))</f>
        <v>77</v>
      </c>
      <c r="G113">
        <v>2</v>
      </c>
      <c r="H113">
        <v>113891</v>
      </c>
      <c r="I113" s="28">
        <f t="shared" si="35"/>
        <v>0.22485217614483283</v>
      </c>
      <c r="J113" s="28">
        <f t="shared" si="34"/>
        <v>0.22189095139590728</v>
      </c>
      <c r="L113" s="28">
        <f t="shared" si="36"/>
        <v>-1.5055692277213222</v>
      </c>
      <c r="M113" s="57"/>
      <c r="N113" s="28" cm="1">
        <f t="array" aca="1" ref="N113" ca="1">L113-INDIRECT("L" &amp; (ROW(L113)-D113))</f>
        <v>-0.66088619593869968</v>
      </c>
      <c r="O113" s="57">
        <f ca="1"/>
        <v>5.684516806615675</v>
      </c>
      <c r="P113" s="57">
        <f ca="1"/>
        <v>3.8167325494859877E-2</v>
      </c>
      <c r="Q113" s="57">
        <f ca="1"/>
        <v>2.2767997485533411</v>
      </c>
      <c r="R113">
        <f ca="1"/>
        <v>3.2089911378232971E-2</v>
      </c>
      <c r="T113">
        <f ca="1"/>
        <v>0.21694536533768266</v>
      </c>
      <c r="U113">
        <f ca="1"/>
        <v>3.8203389091812706E-3</v>
      </c>
    </row>
    <row r="114" spans="1:23" x14ac:dyDescent="0.4">
      <c r="A114" s="26"/>
      <c r="B114" s="26">
        <v>0.6069444444444444</v>
      </c>
      <c r="C114" s="55">
        <f t="shared" si="33"/>
        <v>874</v>
      </c>
      <c r="D114">
        <v>5</v>
      </c>
      <c r="E114" s="56"/>
      <c r="F114" t="s">
        <v>84</v>
      </c>
      <c r="G114">
        <v>2</v>
      </c>
      <c r="H114">
        <v>134812</v>
      </c>
      <c r="I114" s="28">
        <f t="shared" si="35"/>
        <v>0.26615598748309527</v>
      </c>
      <c r="J114" s="28">
        <f t="shared" si="34"/>
        <v>0.26354185358575177</v>
      </c>
      <c r="L114" s="28"/>
      <c r="M114" s="57"/>
      <c r="N114" s="28"/>
    </row>
    <row r="115" spans="1:23" x14ac:dyDescent="0.4">
      <c r="A115" s="26"/>
      <c r="B115" s="26">
        <v>0.63263888888888886</v>
      </c>
      <c r="C115" s="55">
        <f t="shared" si="33"/>
        <v>911</v>
      </c>
      <c r="D115">
        <v>6</v>
      </c>
      <c r="E115" s="56"/>
      <c r="F115" t="s">
        <v>84</v>
      </c>
      <c r="G115">
        <v>2</v>
      </c>
      <c r="H115">
        <v>84665</v>
      </c>
      <c r="I115" s="28">
        <f t="shared" si="35"/>
        <v>0.1671520093185789</v>
      </c>
      <c r="J115" s="28">
        <f t="shared" si="34"/>
        <v>0.16370590921817221</v>
      </c>
      <c r="L115" s="28"/>
      <c r="M115" s="57"/>
      <c r="N115" s="28"/>
    </row>
    <row r="116" spans="1:23" x14ac:dyDescent="0.4">
      <c r="A116" s="26"/>
      <c r="B116" s="26">
        <v>0.65555555555555556</v>
      </c>
      <c r="C116" s="55">
        <f t="shared" si="33"/>
        <v>944</v>
      </c>
      <c r="D116">
        <v>7</v>
      </c>
      <c r="E116" s="56" cm="1">
        <f t="array" aca="1" ref="E116" ca="1">C116-INDIRECT("C" &amp; (ROW(D116) - D116))</f>
        <v>181</v>
      </c>
      <c r="G116">
        <v>2</v>
      </c>
      <c r="H116">
        <v>48724</v>
      </c>
      <c r="I116" s="28">
        <f t="shared" si="35"/>
        <v>9.6194584563142255E-2</v>
      </c>
      <c r="J116" s="28">
        <f t="shared" si="34"/>
        <v>9.2152203582437794E-2</v>
      </c>
      <c r="L116" s="28">
        <f t="shared" si="36"/>
        <v>-2.3843136821577744</v>
      </c>
      <c r="N116" s="28" cm="1">
        <f t="array" aca="1" ref="N116" ca="1">L116-INDIRECT("L" &amp; (ROW(L116)-D116))</f>
        <v>-1.5396306503751518</v>
      </c>
    </row>
    <row r="117" spans="1:23" x14ac:dyDescent="0.4">
      <c r="A117" s="26"/>
      <c r="B117" s="26">
        <v>0.68541666666666667</v>
      </c>
      <c r="C117" s="55">
        <f t="shared" si="33"/>
        <v>987</v>
      </c>
      <c r="D117">
        <v>8</v>
      </c>
      <c r="E117" s="56" cm="1">
        <f t="array" aca="1" ref="E117" ca="1">C117-INDIRECT("C" &amp; (ROW(D117) - D117))</f>
        <v>224</v>
      </c>
      <c r="G117">
        <v>2</v>
      </c>
      <c r="H117">
        <v>44484</v>
      </c>
      <c r="I117" s="28">
        <f t="shared" si="35"/>
        <v>8.7823657739652325E-2</v>
      </c>
      <c r="J117" s="28">
        <f t="shared" si="34"/>
        <v>8.3710932836061389E-2</v>
      </c>
      <c r="L117" s="28">
        <f t="shared" si="36"/>
        <v>-2.4803856907088839</v>
      </c>
      <c r="N117" s="28" cm="1">
        <f t="array" aca="1" ref="N117" ca="1">L117-INDIRECT("L" &amp; (ROW(L117)-D117))</f>
        <v>-1.6357026589262613</v>
      </c>
    </row>
    <row r="118" spans="1:23" x14ac:dyDescent="0.4">
      <c r="A118" s="26"/>
      <c r="B118" s="26"/>
      <c r="C118" s="55"/>
      <c r="E118" s="56"/>
      <c r="L118" s="28"/>
      <c r="N118" s="28"/>
    </row>
    <row r="119" spans="1:23" x14ac:dyDescent="0.4">
      <c r="A119" s="26"/>
      <c r="B119" s="26"/>
      <c r="C119" s="55"/>
      <c r="E119" s="56"/>
    </row>
    <row r="121" spans="1:23" s="20" customFormat="1" x14ac:dyDescent="0.4">
      <c r="A121" s="19" t="s">
        <v>144</v>
      </c>
      <c r="I121" s="30"/>
      <c r="J121" s="30"/>
    </row>
    <row r="122" spans="1:23" x14ac:dyDescent="0.4">
      <c r="A122" s="26"/>
      <c r="B122" s="26">
        <v>0.53263888888888888</v>
      </c>
      <c r="C122" s="55">
        <f t="shared" ref="C122:C131" si="37">HOUR(B122)*60+MINUTE(B122)</f>
        <v>767</v>
      </c>
      <c r="D122">
        <v>0</v>
      </c>
      <c r="E122" s="56" cm="1">
        <f t="array" aca="1" ref="E122" ca="1">C122-INDIRECT("C" &amp; (ROW(D122) - D122))</f>
        <v>0</v>
      </c>
      <c r="G122">
        <v>0</v>
      </c>
      <c r="H122">
        <v>223614</v>
      </c>
      <c r="I122" s="28">
        <f>H122/506515</f>
        <v>0.44147557328015952</v>
      </c>
      <c r="J122" s="28">
        <f t="shared" ref="J122:J131" si="38">(I122*240-$C$325*2)/238</f>
        <v>0.44033471321304335</v>
      </c>
      <c r="L122" s="28">
        <f>LN(J122)</f>
        <v>-0.82022012941660893</v>
      </c>
      <c r="M122" s="57">
        <f ca="1">SLOPE(L122:L131, E122:E131)</f>
        <v>-4.5492878860709475E-3</v>
      </c>
      <c r="N122" s="28" cm="1">
        <f t="array" aca="1" ref="N122" ca="1">L122-INDIRECT("L" &amp; (ROW(L122)-D122))</f>
        <v>0</v>
      </c>
      <c r="O122" s="57" cm="1">
        <f t="array" aca="1" ref="O122:P126" ca="1">LINEST(_xlfn._xlws.FILTER(N122:N133,NOT(ISBLANK(N122:N133))),_xlfn._xlws.FILTER(E122:E133,NOT(ISBLANK(E122:E133))), FALSE, TRUE)</f>
        <v>-4.1951813650424009E-3</v>
      </c>
      <c r="P122" s="57">
        <f ca="1"/>
        <v>0</v>
      </c>
      <c r="Q122" s="57" cm="1">
        <f t="array" aca="1" ref="Q122:R126" ca="1">LINEST(_xlfn._xlws.FILTER(N122:N133, NOT(ISBLANK(N122:N133))),_xlfn._xlws.FILTER(E122:E133, NOT(ISBLANK(E122:E133))), TRUE, TRUE)</f>
        <v>-4.5492878860709475E-3</v>
      </c>
      <c r="R122" s="57">
        <f ca="1"/>
        <v>6.5025441796658423E-2</v>
      </c>
      <c r="S122">
        <f ca="1">ABS(O122)</f>
        <v>4.1951813650424009E-3</v>
      </c>
      <c r="T122" cm="1">
        <f t="array" aca="1" ref="T122:U126" ca="1">LINEST(_xlfn._xlws.FILTER(N122:N126, NOT(ISBLANK(N122:N126))),_xlfn._xlws.FILTER(E122:E126, NOT(ISBLANK(E122:E126))), TRUE, TRUE)</f>
        <v>-5.0064836740327636E-3</v>
      </c>
      <c r="U122">
        <f ca="1"/>
        <v>5.0352929053875561E-2</v>
      </c>
      <c r="V122">
        <f ca="1">S122/(2*'characterization &amp; setup'!$B$144/100)</f>
        <v>5.5305736328925235E-2</v>
      </c>
      <c r="W122">
        <f ca="1">ABS(T122)/(2*'characterization &amp; setup'!$B$144/100)</f>
        <v>6.6001262381257364E-2</v>
      </c>
    </row>
    <row r="123" spans="1:23" x14ac:dyDescent="0.4">
      <c r="A123" s="26"/>
      <c r="B123" s="26">
        <v>0.54374999999999996</v>
      </c>
      <c r="C123" s="55">
        <f t="shared" si="37"/>
        <v>783</v>
      </c>
      <c r="D123">
        <v>1</v>
      </c>
      <c r="E123" s="56" cm="1">
        <f t="array" aca="1" ref="E123" ca="1">C123-INDIRECT("C" &amp; (ROW(D123) - D123))</f>
        <v>16</v>
      </c>
      <c r="F123" t="s">
        <v>84</v>
      </c>
      <c r="G123">
        <v>2</v>
      </c>
      <c r="H123">
        <v>226944</v>
      </c>
      <c r="I123" s="28">
        <f t="shared" ref="I123:I131" si="39">H123/506515</f>
        <v>0.44804990967690989</v>
      </c>
      <c r="J123" s="28">
        <f t="shared" si="38"/>
        <v>0.44696429613413619</v>
      </c>
      <c r="L123" s="28">
        <f t="shared" ref="L123:L130" si="40">LN(J123)</f>
        <v>-0.80527656197897657</v>
      </c>
      <c r="M123" s="57"/>
      <c r="N123" s="28" cm="1">
        <f t="array" aca="1" ref="N123" ca="1">L123-INDIRECT("L" &amp; (ROW(L123)-D123))</f>
        <v>1.4943567437632366E-2</v>
      </c>
      <c r="O123" s="57">
        <f ca="1"/>
        <v>2.5405592006730028E-4</v>
      </c>
      <c r="P123" s="57" t="e">
        <f ca="1"/>
        <v>#N/A</v>
      </c>
      <c r="Q123" s="57">
        <f ca="1"/>
        <v>3.9705394748735856E-4</v>
      </c>
      <c r="R123">
        <f ca="1"/>
        <v>5.6687290712529051E-2</v>
      </c>
      <c r="T123">
        <f ca="1"/>
        <v>9.4855485180486102E-4</v>
      </c>
      <c r="U123">
        <f ca="1"/>
        <v>4.0411108584049178E-2</v>
      </c>
    </row>
    <row r="124" spans="1:23" x14ac:dyDescent="0.4">
      <c r="A124" s="26"/>
      <c r="B124" s="26">
        <v>0.55555555555555558</v>
      </c>
      <c r="C124" s="55">
        <f t="shared" si="37"/>
        <v>800</v>
      </c>
      <c r="D124">
        <v>2</v>
      </c>
      <c r="E124" s="56" cm="1">
        <f t="array" aca="1" ref="E124" ca="1">C124-INDIRECT("C" &amp; (ROW(D124) - D124))</f>
        <v>33</v>
      </c>
      <c r="G124">
        <v>2</v>
      </c>
      <c r="H124">
        <v>199380</v>
      </c>
      <c r="I124" s="28">
        <f t="shared" si="39"/>
        <v>0.39363098822344844</v>
      </c>
      <c r="J124" s="28">
        <f t="shared" si="38"/>
        <v>0.3920880728197213</v>
      </c>
      <c r="L124" s="28">
        <f t="shared" si="40"/>
        <v>-0.93626878886693488</v>
      </c>
      <c r="M124" s="57"/>
      <c r="N124" s="28" cm="1">
        <f t="array" aca="1" ref="N124" ca="1">L124-INDIRECT("L" &amp; (ROW(L124)-D124))</f>
        <v>-0.11604865945032594</v>
      </c>
      <c r="O124" s="57">
        <f ca="1"/>
        <v>0.96804810605085312</v>
      </c>
      <c r="P124" s="57">
        <f ca="1"/>
        <v>0.11470055050158173</v>
      </c>
      <c r="Q124" s="57">
        <f ca="1"/>
        <v>0.94256040436985089</v>
      </c>
      <c r="R124">
        <f ca="1"/>
        <v>0.11273955126738547</v>
      </c>
      <c r="T124">
        <f ca="1"/>
        <v>0.90277861399129378</v>
      </c>
      <c r="U124">
        <f ca="1"/>
        <v>5.3882591354245259E-2</v>
      </c>
    </row>
    <row r="125" spans="1:23" x14ac:dyDescent="0.4">
      <c r="A125" s="26"/>
      <c r="B125" s="26">
        <v>0.56666666666666665</v>
      </c>
      <c r="C125" s="55">
        <f t="shared" si="37"/>
        <v>816</v>
      </c>
      <c r="D125">
        <v>3</v>
      </c>
      <c r="E125" s="56" cm="1">
        <f t="array" aca="1" ref="E125" ca="1">C125-INDIRECT("C" &amp; (ROW(D125) - D125))</f>
        <v>49</v>
      </c>
      <c r="F125" t="s">
        <v>84</v>
      </c>
      <c r="G125">
        <v>2</v>
      </c>
      <c r="H125">
        <v>193573</v>
      </c>
      <c r="I125" s="28">
        <f t="shared" si="39"/>
        <v>0.38216637217061689</v>
      </c>
      <c r="J125" s="28">
        <f t="shared" si="38"/>
        <v>0.38052711545552143</v>
      </c>
      <c r="L125" s="28">
        <f t="shared" si="40"/>
        <v>-0.96619784152426746</v>
      </c>
      <c r="M125" s="57"/>
      <c r="N125" s="28" cm="1">
        <f t="array" aca="1" ref="N125" ca="1">L125-INDIRECT("L" &amp; (ROW(L125)-D125))</f>
        <v>-0.14597771210765853</v>
      </c>
      <c r="O125" s="57">
        <f ca="1"/>
        <v>272.67344365639144</v>
      </c>
      <c r="P125" s="57">
        <f ca="1"/>
        <v>9</v>
      </c>
      <c r="Q125" s="57">
        <f ca="1"/>
        <v>131.27674650621907</v>
      </c>
      <c r="R125">
        <f ca="1"/>
        <v>8</v>
      </c>
      <c r="T125">
        <f ca="1"/>
        <v>27.857408263356227</v>
      </c>
      <c r="U125">
        <f ca="1"/>
        <v>3</v>
      </c>
    </row>
    <row r="126" spans="1:23" x14ac:dyDescent="0.4">
      <c r="A126" s="26"/>
      <c r="B126" s="26">
        <v>0.58333333333333337</v>
      </c>
      <c r="C126" s="55">
        <f t="shared" si="37"/>
        <v>840</v>
      </c>
      <c r="D126">
        <v>4</v>
      </c>
      <c r="E126" s="56" cm="1">
        <f t="array" aca="1" ref="E126" ca="1">C126-INDIRECT("C" &amp; (ROW(D126) - D126))</f>
        <v>73</v>
      </c>
      <c r="G126">
        <v>2</v>
      </c>
      <c r="H126">
        <v>157170</v>
      </c>
      <c r="I126" s="28">
        <f t="shared" si="39"/>
        <v>0.31029683227545085</v>
      </c>
      <c r="J126" s="28">
        <f t="shared" si="38"/>
        <v>0.30805362984695067</v>
      </c>
      <c r="L126" s="28">
        <f t="shared" si="40"/>
        <v>-1.1774813882864816</v>
      </c>
      <c r="M126" s="57"/>
      <c r="N126" s="28" cm="1">
        <f t="array" aca="1" ref="N126" ca="1">L126-INDIRECT("L" &amp; (ROW(L126)-D126))</f>
        <v>-0.3572612588698727</v>
      </c>
      <c r="O126" s="57">
        <f ca="1"/>
        <v>3.5873508000190188</v>
      </c>
      <c r="P126" s="57">
        <f ca="1"/>
        <v>0.11840594656829311</v>
      </c>
      <c r="Q126" s="57">
        <f ca="1"/>
        <v>1.6685545462363085</v>
      </c>
      <c r="R126">
        <f ca="1"/>
        <v>0.1016816513597715</v>
      </c>
      <c r="T126">
        <f ca="1"/>
        <v>8.0879350842001096E-2</v>
      </c>
      <c r="U126">
        <f ca="1"/>
        <v>8.7100009531457592E-3</v>
      </c>
    </row>
    <row r="127" spans="1:23" x14ac:dyDescent="0.4">
      <c r="A127" s="26"/>
      <c r="B127" s="26">
        <v>0.60763888888888884</v>
      </c>
      <c r="C127" s="55">
        <f t="shared" si="37"/>
        <v>875</v>
      </c>
      <c r="D127">
        <v>5</v>
      </c>
      <c r="E127" s="56" cm="1">
        <f t="array" aca="1" ref="E127" ca="1">C127-INDIRECT("C" &amp; (ROW(D127) - D127))</f>
        <v>108</v>
      </c>
      <c r="F127" t="s">
        <v>84</v>
      </c>
      <c r="G127">
        <v>2</v>
      </c>
      <c r="H127">
        <v>172883</v>
      </c>
      <c r="I127" s="28">
        <f t="shared" si="39"/>
        <v>0.34131861840221911</v>
      </c>
      <c r="J127" s="28">
        <f t="shared" si="38"/>
        <v>0.33933610325209507</v>
      </c>
      <c r="L127" s="28">
        <f t="shared" si="40"/>
        <v>-1.0807642077476669</v>
      </c>
      <c r="M127" s="57"/>
      <c r="N127" s="28" cm="1">
        <f t="array" aca="1" ref="N127" ca="1">L127-INDIRECT("L" &amp; (ROW(L127)-D127))</f>
        <v>-0.26054407833105797</v>
      </c>
    </row>
    <row r="128" spans="1:23" x14ac:dyDescent="0.4">
      <c r="A128" s="26"/>
      <c r="B128" s="26">
        <v>0.6333333333333333</v>
      </c>
      <c r="C128" s="55">
        <f t="shared" si="37"/>
        <v>912</v>
      </c>
      <c r="D128">
        <v>6</v>
      </c>
      <c r="E128" s="56" cm="1">
        <f t="array" aca="1" ref="E128" ca="1">C128-INDIRECT("C" &amp; (ROW(D128) - D128))</f>
        <v>145</v>
      </c>
      <c r="G128">
        <v>2</v>
      </c>
      <c r="H128">
        <v>149076</v>
      </c>
      <c r="I128" s="28">
        <f t="shared" si="39"/>
        <v>0.29431704885343968</v>
      </c>
      <c r="J128" s="28">
        <f t="shared" si="38"/>
        <v>0.2919395625306368</v>
      </c>
      <c r="L128" s="28">
        <f t="shared" si="40"/>
        <v>-1.2312084757714876</v>
      </c>
      <c r="M128" s="57"/>
      <c r="N128" s="28" cm="1">
        <f t="array" aca="1" ref="N128" ca="1">L128-INDIRECT("L" &amp; (ROW(L128)-D128))</f>
        <v>-0.41098834635487869</v>
      </c>
    </row>
    <row r="129" spans="1:23" x14ac:dyDescent="0.4">
      <c r="A129" s="26"/>
      <c r="B129" s="26">
        <v>0.65625</v>
      </c>
      <c r="C129" s="55">
        <f t="shared" si="37"/>
        <v>945</v>
      </c>
      <c r="D129">
        <v>7</v>
      </c>
      <c r="E129" s="56" cm="1">
        <f t="array" aca="1" ref="E129" ca="1">C129-INDIRECT("C" &amp; (ROW(D129) - D129))</f>
        <v>178</v>
      </c>
      <c r="G129">
        <v>2</v>
      </c>
      <c r="H129">
        <v>91881</v>
      </c>
      <c r="I129" s="28">
        <f t="shared" si="39"/>
        <v>0.18139837912006554</v>
      </c>
      <c r="J129" s="28">
        <f t="shared" si="38"/>
        <v>0.17807199641294866</v>
      </c>
      <c r="L129" s="28">
        <f t="shared" si="40"/>
        <v>-1.725567336237654</v>
      </c>
      <c r="N129" s="28" cm="1">
        <f t="array" aca="1" ref="N129" ca="1">L129-INDIRECT("L" &amp; (ROW(L129)-D129))</f>
        <v>-0.90534720682104508</v>
      </c>
    </row>
    <row r="130" spans="1:23" x14ac:dyDescent="0.4">
      <c r="A130" s="26"/>
      <c r="B130" s="26">
        <v>0.69097222222222221</v>
      </c>
      <c r="C130" s="55">
        <f t="shared" si="37"/>
        <v>995</v>
      </c>
      <c r="D130">
        <v>8</v>
      </c>
      <c r="E130" s="56" cm="1">
        <f t="array" aca="1" ref="E130" ca="1">C130-INDIRECT("C" &amp; (ROW(D130) - D130))</f>
        <v>228</v>
      </c>
      <c r="G130">
        <v>2</v>
      </c>
      <c r="H130">
        <v>84274</v>
      </c>
      <c r="I130" s="28">
        <f t="shared" si="39"/>
        <v>0.16638006771763916</v>
      </c>
      <c r="J130" s="28">
        <f t="shared" si="38"/>
        <v>0.1629274807130229</v>
      </c>
      <c r="L130" s="28">
        <f t="shared" si="40"/>
        <v>-1.8144500807754327</v>
      </c>
      <c r="N130" s="28" cm="1">
        <f t="array" aca="1" ref="N130" ca="1">L130-INDIRECT("L" &amp; (ROW(L130)-D130))</f>
        <v>-0.99422995135882375</v>
      </c>
    </row>
    <row r="131" spans="1:23" x14ac:dyDescent="0.4">
      <c r="A131" s="26"/>
      <c r="B131" s="26">
        <v>0.7270833333333333</v>
      </c>
      <c r="C131" s="55">
        <f t="shared" si="37"/>
        <v>1047</v>
      </c>
      <c r="D131">
        <v>9</v>
      </c>
      <c r="E131" s="56" cm="1">
        <f t="array" aca="1" ref="E131" ca="1">C131-INDIRECT("C" &amp; (ROW(D131) - D131))</f>
        <v>280</v>
      </c>
      <c r="G131">
        <v>2</v>
      </c>
      <c r="H131">
        <v>67474</v>
      </c>
      <c r="I131" s="28">
        <f t="shared" si="39"/>
        <v>0.13321224445475455</v>
      </c>
      <c r="J131" s="28">
        <f t="shared" si="38"/>
        <v>0.12948093624624851</v>
      </c>
      <c r="L131" s="28">
        <f t="shared" ref="L131" si="41">LN(J131)</f>
        <v>-2.0442216191327462</v>
      </c>
      <c r="N131" s="28" cm="1">
        <f t="array" aca="1" ref="N131" ca="1">L131-INDIRECT("L" &amp; (ROW(L131)-D131))</f>
        <v>-1.2240014897161373</v>
      </c>
    </row>
    <row r="132" spans="1:23" x14ac:dyDescent="0.4">
      <c r="A132" s="26"/>
      <c r="B132" s="26"/>
      <c r="C132" s="55"/>
      <c r="E132" s="56"/>
      <c r="L132" s="28"/>
      <c r="N132" s="28"/>
    </row>
    <row r="134" spans="1:23" s="20" customFormat="1" x14ac:dyDescent="0.4">
      <c r="A134" s="19" t="s">
        <v>143</v>
      </c>
      <c r="I134" s="30"/>
      <c r="J134" s="30"/>
    </row>
    <row r="135" spans="1:23" x14ac:dyDescent="0.4">
      <c r="A135" s="26"/>
      <c r="B135" s="26">
        <v>0.53402777777777777</v>
      </c>
      <c r="C135" s="55">
        <f t="shared" ref="C135:C144" si="42">HOUR(B135)*60+MINUTE(B135)</f>
        <v>769</v>
      </c>
      <c r="D135">
        <v>0</v>
      </c>
      <c r="E135" s="56" cm="1">
        <f t="array" aca="1" ref="E135" ca="1">C135-INDIRECT("C" &amp; (ROW(D135) - D135))</f>
        <v>0</v>
      </c>
      <c r="G135">
        <v>0</v>
      </c>
      <c r="H135">
        <v>228488</v>
      </c>
      <c r="I135" s="28">
        <f t="shared" ref="I135:I142" si="43">H135/506515</f>
        <v>0.45109819057678452</v>
      </c>
      <c r="J135" s="28">
        <f t="shared" ref="J135:J144" si="44">(I135*240-$C$325*2)/238</f>
        <v>0.45003819283989216</v>
      </c>
      <c r="L135" s="28">
        <f>LN(J135)</f>
        <v>-0.79842282684174082</v>
      </c>
      <c r="M135" s="57">
        <f ca="1">SLOPE(L135:L144, E135:E144)</f>
        <v>-5.3617105784769413E-3</v>
      </c>
      <c r="N135" s="28" cm="1">
        <f t="array" aca="1" ref="N135" ca="1">L135-INDIRECT("L" &amp; (ROW(L135)-D135))</f>
        <v>0</v>
      </c>
      <c r="O135" s="57" cm="1">
        <f t="array" aca="1" ref="O135:P139" ca="1">LINEST(_xlfn._xlws.FILTER(N135:N146,NOT(ISBLANK(N135:N146))),_xlfn._xlws.FILTER(E135:E146,NOT(ISBLANK(E135:E146))), FALSE, TRUE)</f>
        <v>-4.890611852238996E-3</v>
      </c>
      <c r="P135" s="57">
        <f ca="1"/>
        <v>0</v>
      </c>
      <c r="Q135" s="57" cm="1">
        <f t="array" aca="1" ref="Q135:R139" ca="1">LINEST(_xlfn._xlws.FILTER(N135:N146, NOT(ISBLANK(N135:N146))),_xlfn._xlws.FILTER(E135:E146, NOT(ISBLANK(E135:E146))), TRUE, TRUE)</f>
        <v>-5.3617105784769404E-3</v>
      </c>
      <c r="R135" s="57">
        <f ca="1"/>
        <v>8.6045150744310406E-2</v>
      </c>
      <c r="S135">
        <f ca="1">ABS(O135)</f>
        <v>4.890611852238996E-3</v>
      </c>
      <c r="T135" cm="1">
        <f t="array" aca="1" ref="T135:U139" ca="1">LINEST(_xlfn._xlws.FILTER(N135:N139, NOT(ISBLANK(N135:N139))),_xlfn._xlws.FILTER(E135:E139, NOT(ISBLANK(E135:E139))), TRUE, TRUE)</f>
        <v>-5.2807707035567681E-3</v>
      </c>
      <c r="U135">
        <f ca="1"/>
        <v>4.4587845214963479E-2</v>
      </c>
      <c r="V135">
        <f ca="1">S135/(2*'characterization &amp; setup'!$B$144/100)</f>
        <v>6.4473705914336044E-2</v>
      </c>
      <c r="W135">
        <f ca="1">ABS(T135)/(2*'characterization &amp; setup'!$B$144/100)</f>
        <v>6.9617231468959817E-2</v>
      </c>
    </row>
    <row r="136" spans="1:23" x14ac:dyDescent="0.4">
      <c r="A136" s="26"/>
      <c r="B136" s="26">
        <v>0.54374999999999996</v>
      </c>
      <c r="C136" s="55">
        <f t="shared" si="42"/>
        <v>783</v>
      </c>
      <c r="D136">
        <v>1</v>
      </c>
      <c r="E136" s="56" cm="1">
        <f t="array" aca="1" ref="E136" ca="1">C136-INDIRECT("C" &amp; (ROW(D136) - D136))</f>
        <v>14</v>
      </c>
      <c r="F136" t="s">
        <v>84</v>
      </c>
      <c r="G136">
        <v>2</v>
      </c>
      <c r="H136">
        <v>248268</v>
      </c>
      <c r="I136" s="28">
        <f t="shared" si="43"/>
        <v>0.49014935391844267</v>
      </c>
      <c r="J136" s="28">
        <f t="shared" si="44"/>
        <v>0.48941751721803478</v>
      </c>
      <c r="L136" s="28">
        <f t="shared" ref="L136:L143" si="45">LN(J136)</f>
        <v>-0.71453933536109504</v>
      </c>
      <c r="M136" s="57"/>
      <c r="N136" s="28" cm="1">
        <f t="array" aca="1" ref="N136" ca="1">L136-INDIRECT("L" &amp; (ROW(L136)-D136))</f>
        <v>8.3883491480645778E-2</v>
      </c>
      <c r="O136" s="57">
        <f ca="1"/>
        <v>3.4926099120985465E-4</v>
      </c>
      <c r="P136" s="57" t="e">
        <f ca="1"/>
        <v>#N/A</v>
      </c>
      <c r="Q136" s="57">
        <f ca="1"/>
        <v>5.4488486880371184E-4</v>
      </c>
      <c r="R136">
        <f ca="1"/>
        <v>7.7093410719031863E-2</v>
      </c>
      <c r="T136">
        <f ca="1"/>
        <v>2.1610114650307383E-3</v>
      </c>
      <c r="U136">
        <f ca="1"/>
        <v>9.0184370671160474E-2</v>
      </c>
    </row>
    <row r="137" spans="1:23" x14ac:dyDescent="0.4">
      <c r="A137" s="26"/>
      <c r="B137" s="26">
        <v>0.55625000000000002</v>
      </c>
      <c r="C137" s="55">
        <f t="shared" si="42"/>
        <v>801</v>
      </c>
      <c r="D137">
        <v>2</v>
      </c>
      <c r="E137" s="56" cm="1">
        <f t="array" aca="1" ref="E137" ca="1">C137-INDIRECT("C" &amp; (ROW(D137) - D137))</f>
        <v>32</v>
      </c>
      <c r="G137">
        <v>2</v>
      </c>
      <c r="H137">
        <v>175651</v>
      </c>
      <c r="I137" s="28">
        <f t="shared" si="43"/>
        <v>0.34678341213981817</v>
      </c>
      <c r="J137" s="28">
        <f t="shared" si="44"/>
        <v>0.34484681962614455</v>
      </c>
      <c r="L137" s="28">
        <f t="shared" si="45"/>
        <v>-1.0646549616320835</v>
      </c>
      <c r="M137" s="57"/>
      <c r="N137" s="28" cm="1">
        <f t="array" aca="1" ref="N137" ca="1">L137-INDIRECT("L" &amp; (ROW(L137)-D137))</f>
        <v>-0.26623213479034269</v>
      </c>
      <c r="O137" s="57">
        <f ca="1"/>
        <v>0.95611400381831391</v>
      </c>
      <c r="P137" s="57">
        <f ca="1"/>
        <v>0.15626531587609119</v>
      </c>
      <c r="Q137" s="57">
        <f ca="1"/>
        <v>0.92368390753863117</v>
      </c>
      <c r="R137">
        <f ca="1"/>
        <v>0.154174882361305</v>
      </c>
      <c r="T137">
        <f ca="1"/>
        <v>0.66560624201156016</v>
      </c>
      <c r="U137">
        <f ca="1"/>
        <v>0.12218413096885936</v>
      </c>
    </row>
    <row r="138" spans="1:23" x14ac:dyDescent="0.4">
      <c r="A138" s="26"/>
      <c r="B138" s="26">
        <v>0.56736111111111109</v>
      </c>
      <c r="C138" s="55">
        <f t="shared" si="42"/>
        <v>817</v>
      </c>
      <c r="D138">
        <v>3</v>
      </c>
      <c r="E138" s="56" cm="1">
        <f t="array" aca="1" ref="E138" ca="1">C138-INDIRECT("C" &amp; (ROW(D138) - D138))</f>
        <v>48</v>
      </c>
      <c r="F138" t="s">
        <v>84</v>
      </c>
      <c r="G138">
        <v>2</v>
      </c>
      <c r="H138">
        <v>204463</v>
      </c>
      <c r="I138" s="28">
        <f t="shared" si="43"/>
        <v>0.40366622903566529</v>
      </c>
      <c r="J138" s="28">
        <f t="shared" si="44"/>
        <v>0.40220764338666265</v>
      </c>
      <c r="L138" s="28">
        <f t="shared" si="45"/>
        <v>-0.9107867978791987</v>
      </c>
      <c r="M138" s="57"/>
      <c r="N138" s="28" cm="1">
        <f t="array" aca="1" ref="N138" ca="1">L138-INDIRECT("L" &amp; (ROW(L138)-D138))</f>
        <v>-0.11236397103745788</v>
      </c>
      <c r="O138" s="57">
        <f ca="1"/>
        <v>196.07680770741567</v>
      </c>
      <c r="P138" s="57">
        <f ca="1"/>
        <v>9</v>
      </c>
      <c r="Q138" s="57">
        <f ca="1"/>
        <v>96.827170023800761</v>
      </c>
      <c r="R138">
        <f ca="1"/>
        <v>8</v>
      </c>
      <c r="T138">
        <f ca="1"/>
        <v>5.9714593300025385</v>
      </c>
      <c r="U138">
        <f ca="1"/>
        <v>3</v>
      </c>
    </row>
    <row r="139" spans="1:23" x14ac:dyDescent="0.4">
      <c r="A139" s="26"/>
      <c r="B139" s="26">
        <v>0.58402777777777781</v>
      </c>
      <c r="C139" s="55">
        <f t="shared" si="42"/>
        <v>841</v>
      </c>
      <c r="D139">
        <v>4</v>
      </c>
      <c r="E139" s="56" cm="1">
        <f t="array" aca="1" ref="E139" ca="1">C139-INDIRECT("C" &amp; (ROW(D139) - D139))</f>
        <v>72</v>
      </c>
      <c r="G139">
        <v>2</v>
      </c>
      <c r="H139">
        <v>160312</v>
      </c>
      <c r="I139" s="28">
        <f t="shared" si="43"/>
        <v>0.31650000493568797</v>
      </c>
      <c r="J139" s="28">
        <f t="shared" si="44"/>
        <v>0.31430893000853427</v>
      </c>
      <c r="L139" s="28">
        <f t="shared" si="45"/>
        <v>-1.1573789232101923</v>
      </c>
      <c r="M139" s="57"/>
      <c r="N139" s="28" cm="1">
        <f t="array" aca="1" ref="N139" ca="1">L139-INDIRECT("L" &amp; (ROW(L139)-D139))</f>
        <v>-0.35895609636845149</v>
      </c>
      <c r="O139" s="57">
        <f ca="1"/>
        <v>4.7879699491927532</v>
      </c>
      <c r="P139" s="57">
        <f ca="1"/>
        <v>0.21976964051269099</v>
      </c>
      <c r="Q139" s="57">
        <f ca="1"/>
        <v>2.3015716017838943</v>
      </c>
      <c r="R139">
        <f ca="1"/>
        <v>0.19015915480897791</v>
      </c>
      <c r="T139">
        <f ca="1"/>
        <v>8.9147688589823748E-2</v>
      </c>
      <c r="U139">
        <f ca="1"/>
        <v>4.4786885581846132E-2</v>
      </c>
    </row>
    <row r="140" spans="1:23" x14ac:dyDescent="0.4">
      <c r="A140" s="26"/>
      <c r="B140" s="26">
        <v>0.60763888888888884</v>
      </c>
      <c r="C140" s="55">
        <f t="shared" si="42"/>
        <v>875</v>
      </c>
      <c r="D140">
        <v>5</v>
      </c>
      <c r="E140" s="56" cm="1">
        <f t="array" aca="1" ref="E140" ca="1">C140-INDIRECT("C" &amp; (ROW(D140) - D140))</f>
        <v>106</v>
      </c>
      <c r="F140" t="s">
        <v>84</v>
      </c>
      <c r="G140">
        <v>2</v>
      </c>
      <c r="H140">
        <v>140759</v>
      </c>
      <c r="I140" s="28">
        <f t="shared" si="43"/>
        <v>0.27789700206311757</v>
      </c>
      <c r="J140" s="28">
        <f t="shared" si="44"/>
        <v>0.27538153215384142</v>
      </c>
      <c r="L140" s="28">
        <f t="shared" si="45"/>
        <v>-1.2895977532010072</v>
      </c>
      <c r="M140" s="57"/>
      <c r="N140" s="28" cm="1">
        <f t="array" aca="1" ref="N140" ca="1">L140-INDIRECT("L" &amp; (ROW(L140)-D140))</f>
        <v>-0.49117492635926641</v>
      </c>
    </row>
    <row r="141" spans="1:23" x14ac:dyDescent="0.4">
      <c r="A141" s="26"/>
      <c r="B141" s="26">
        <v>0.6333333333333333</v>
      </c>
      <c r="C141" s="55">
        <f t="shared" si="42"/>
        <v>912</v>
      </c>
      <c r="D141">
        <v>6</v>
      </c>
      <c r="E141" s="56" cm="1">
        <f t="array" aca="1" ref="E141" ca="1">C141-INDIRECT("C" &amp; (ROW(D141) - D141))</f>
        <v>143</v>
      </c>
      <c r="F141" t="s">
        <v>84</v>
      </c>
      <c r="G141">
        <v>2</v>
      </c>
      <c r="H141">
        <v>153660</v>
      </c>
      <c r="I141" s="28">
        <f t="shared" si="43"/>
        <v>0.30336712634374108</v>
      </c>
      <c r="J141" s="28">
        <f t="shared" si="44"/>
        <v>0.30106569109228526</v>
      </c>
      <c r="L141" s="28">
        <f t="shared" si="45"/>
        <v>-1.2004267952132512</v>
      </c>
      <c r="M141" s="57"/>
      <c r="N141" s="28" cm="1">
        <f t="array" aca="1" ref="N141" ca="1">L141-INDIRECT("L" &amp; (ROW(L141)-D141))</f>
        <v>-0.40200396837151042</v>
      </c>
    </row>
    <row r="142" spans="1:23" x14ac:dyDescent="0.4">
      <c r="A142" s="26"/>
      <c r="B142" s="26">
        <v>0.65625</v>
      </c>
      <c r="C142" s="55">
        <f t="shared" si="42"/>
        <v>945</v>
      </c>
      <c r="D142">
        <v>7</v>
      </c>
      <c r="E142" s="56" cm="1">
        <f t="array" aca="1" ref="E142" ca="1">C142-INDIRECT("C" &amp; (ROW(D142) - D142))</f>
        <v>176</v>
      </c>
      <c r="G142">
        <v>2</v>
      </c>
      <c r="H142">
        <v>106493</v>
      </c>
      <c r="I142" s="28">
        <f t="shared" si="43"/>
        <v>0.21024648825799827</v>
      </c>
      <c r="J142" s="28">
        <f t="shared" si="44"/>
        <v>0.20716252663607412</v>
      </c>
      <c r="L142" s="28">
        <f t="shared" si="45"/>
        <v>-1.5742516409567315</v>
      </c>
      <c r="N142" s="28" cm="1">
        <f t="array" aca="1" ref="N142" ca="1">L142-INDIRECT("L" &amp; (ROW(L142)-D142))</f>
        <v>-0.77582881411499072</v>
      </c>
    </row>
    <row r="143" spans="1:23" x14ac:dyDescent="0.4">
      <c r="A143" s="26"/>
      <c r="B143" s="26">
        <v>0.69166666666666665</v>
      </c>
      <c r="C143" s="55">
        <f t="shared" si="42"/>
        <v>996</v>
      </c>
      <c r="D143">
        <v>8</v>
      </c>
      <c r="E143" s="56" cm="1">
        <f t="array" aca="1" ref="E143" ca="1">C143-INDIRECT("C" &amp; (ROW(D143) - D143))</f>
        <v>227</v>
      </c>
      <c r="G143">
        <v>2</v>
      </c>
      <c r="H143">
        <v>80222</v>
      </c>
      <c r="I143" s="28">
        <f t="shared" ref="I143:I144" si="46">H143/506515</f>
        <v>0.15838030463066247</v>
      </c>
      <c r="J143" s="28">
        <f t="shared" si="44"/>
        <v>0.15486049272615562</v>
      </c>
      <c r="L143" s="28">
        <f t="shared" si="45"/>
        <v>-1.8652306142763573</v>
      </c>
      <c r="N143" s="28" cm="1">
        <f t="array" aca="1" ref="N143" ca="1">L143-INDIRECT("L" &amp; (ROW(L143)-D143))</f>
        <v>-1.0668077874346165</v>
      </c>
    </row>
    <row r="144" spans="1:23" x14ac:dyDescent="0.4">
      <c r="A144" s="26"/>
      <c r="B144" s="26">
        <v>0.7270833333333333</v>
      </c>
      <c r="C144" s="55">
        <f t="shared" si="42"/>
        <v>1047</v>
      </c>
      <c r="D144">
        <v>9</v>
      </c>
      <c r="E144" s="56" cm="1">
        <f t="array" aca="1" ref="E144" ca="1">C144-INDIRECT("C" &amp; (ROW(D144) - D144))</f>
        <v>278</v>
      </c>
      <c r="G144">
        <v>2</v>
      </c>
      <c r="H144">
        <v>46882</v>
      </c>
      <c r="I144" s="28">
        <f t="shared" si="46"/>
        <v>9.255796965539026E-2</v>
      </c>
      <c r="J144" s="28">
        <f t="shared" si="44"/>
        <v>8.848502888554502E-2</v>
      </c>
      <c r="L144" s="28">
        <f t="shared" ref="L144" si="47">LN(J144)</f>
        <v>-2.4249219064133731</v>
      </c>
      <c r="N144" s="28" cm="1">
        <f t="array" aca="1" ref="N144" ca="1">L144-INDIRECT("L" &amp; (ROW(L144)-D144))</f>
        <v>-1.6264990795716323</v>
      </c>
    </row>
    <row r="145" spans="1:23" x14ac:dyDescent="0.4">
      <c r="A145" s="26"/>
      <c r="B145" s="26"/>
      <c r="C145" s="55"/>
      <c r="E145" s="56"/>
      <c r="L145" s="28"/>
      <c r="N145" s="28"/>
    </row>
    <row r="147" spans="1:23" s="20" customFormat="1" x14ac:dyDescent="0.4">
      <c r="A147" s="54" t="s">
        <v>142</v>
      </c>
      <c r="I147" s="30"/>
      <c r="J147" s="30"/>
    </row>
    <row r="148" spans="1:23" x14ac:dyDescent="0.4">
      <c r="A148" s="26"/>
      <c r="B148" s="26">
        <v>0.53611111111111109</v>
      </c>
      <c r="C148" s="55">
        <f t="shared" ref="C148:C157" si="48">HOUR(B148)*60+MINUTE(B148)</f>
        <v>772</v>
      </c>
      <c r="D148">
        <v>0</v>
      </c>
      <c r="E148" s="56" cm="1">
        <f t="array" aca="1" ref="E148" ca="1">C148-INDIRECT("C" &amp; (ROW(D148) - D148))</f>
        <v>0</v>
      </c>
      <c r="G148">
        <v>0</v>
      </c>
      <c r="H148">
        <v>219592</v>
      </c>
      <c r="I148" s="28">
        <f t="shared" ref="I148:I155" si="49">H148/506515</f>
        <v>0.43353503844900942</v>
      </c>
      <c r="J148" s="28">
        <f>(I148*240-$C$325*2)/238</f>
        <v>0.4323274511984383</v>
      </c>
      <c r="L148" s="28">
        <f>LN(J148)</f>
        <v>-0.83857198898124374</v>
      </c>
      <c r="M148" s="57">
        <f ca="1">SLOPE(L148:L157, E148:E157)</f>
        <v>-5.4279078744106663E-3</v>
      </c>
      <c r="N148" s="28" cm="1">
        <f t="array" aca="1" ref="N148" ca="1">L148-INDIRECT("L" &amp; (ROW(L148)-D148))</f>
        <v>0</v>
      </c>
      <c r="O148" s="57" cm="1">
        <f t="array" aca="1" ref="O148:P152" ca="1">LINEST(_xlfn._xlws.FILTER(N148:N159,NOT(ISBLANK(N148:N159))),_xlfn._xlws.FILTER(E148:E159,NOT(ISBLANK(E148:E159))), FALSE, TRUE)</f>
        <v>-4.867181102135772E-3</v>
      </c>
      <c r="P148" s="57">
        <f ca="1"/>
        <v>0</v>
      </c>
      <c r="Q148" s="57" cm="1">
        <f t="array" aca="1" ref="Q148:R152" ca="1">LINEST(_xlfn._xlws.FILTER(N148:N159, NOT(ISBLANK(N148:N159))),_xlfn._xlws.FILTER(E148:E159, NOT(ISBLANK(E148:E159))), TRUE, TRUE)</f>
        <v>-5.4279078744106654E-3</v>
      </c>
      <c r="R148" s="57">
        <f ca="1"/>
        <v>0.10292258368508278</v>
      </c>
      <c r="S148">
        <f ca="1">ABS(O148)</f>
        <v>4.867181102135772E-3</v>
      </c>
      <c r="T148" cm="1">
        <f t="array" aca="1" ref="T148:U152" ca="1">LINEST(_xlfn._xlws.FILTER(N148:N152, NOT(ISBLANK(N148:N152))),_xlfn._xlws.FILTER(E148:E152, NOT(ISBLANK(E148:E152))), TRUE, TRUE)</f>
        <v>-4.1387413637001763E-3</v>
      </c>
      <c r="U148">
        <f ca="1"/>
        <v>-1.8183980804278577E-3</v>
      </c>
      <c r="V148">
        <f ca="1">S148/(2*'characterization &amp; setup'!$B$144/100)</f>
        <v>6.4164814647322904E-2</v>
      </c>
      <c r="W148">
        <f ca="1">ABS(T148)/(2*'characterization &amp; setup'!$B$144/100)</f>
        <v>5.4561678906605494E-2</v>
      </c>
    </row>
    <row r="149" spans="1:23" x14ac:dyDescent="0.4">
      <c r="A149" s="26"/>
      <c r="B149" s="26">
        <v>0.5444444444444444</v>
      </c>
      <c r="C149" s="55">
        <f t="shared" si="48"/>
        <v>784</v>
      </c>
      <c r="D149">
        <v>1</v>
      </c>
      <c r="E149" s="56"/>
      <c r="G149">
        <v>2</v>
      </c>
      <c r="L149" s="28"/>
      <c r="M149" s="57"/>
      <c r="N149" s="28"/>
      <c r="O149" s="57">
        <f ca="1"/>
        <v>3.2932813274123135E-4</v>
      </c>
      <c r="P149" s="57" t="e">
        <f ca="1"/>
        <v>#N/A</v>
      </c>
      <c r="Q149" s="57">
        <f ca="1"/>
        <v>5.2837137271407404E-4</v>
      </c>
      <c r="R149">
        <f ca="1"/>
        <v>7.7870420942426688E-2</v>
      </c>
      <c r="T149">
        <f ca="1"/>
        <v>8.905947330148736E-4</v>
      </c>
      <c r="U149">
        <f ca="1"/>
        <v>3.9618955291624201E-2</v>
      </c>
    </row>
    <row r="150" spans="1:23" x14ac:dyDescent="0.4">
      <c r="A150" s="26"/>
      <c r="B150" s="26">
        <v>0.55694444444444446</v>
      </c>
      <c r="C150" s="55">
        <f t="shared" si="48"/>
        <v>802</v>
      </c>
      <c r="D150">
        <v>2</v>
      </c>
      <c r="E150" s="56" cm="1">
        <f t="array" aca="1" ref="E150" ca="1">C150-INDIRECT("C" &amp; (ROW(D150) - D150))</f>
        <v>30</v>
      </c>
      <c r="G150">
        <v>2</v>
      </c>
      <c r="H150">
        <v>187531</v>
      </c>
      <c r="I150" s="28">
        <f t="shared" si="49"/>
        <v>0.37023780144714374</v>
      </c>
      <c r="J150" s="28">
        <f t="shared" ref="J150:J157" si="50">(I150*240-$C$325*2)/238</f>
        <v>0.36849830464193506</v>
      </c>
      <c r="L150" s="28">
        <f t="shared" ref="L150:L155" si="51">LN(J150)</f>
        <v>-0.99831916806364096</v>
      </c>
      <c r="M150" s="57"/>
      <c r="N150" s="28" cm="1">
        <f t="array" aca="1" ref="N150" ca="1">L150-INDIRECT("L" &amp; (ROW(L150)-D150))</f>
        <v>-0.15974717908239722</v>
      </c>
      <c r="O150" s="57">
        <f ca="1"/>
        <v>0.96466782037408905</v>
      </c>
      <c r="P150" s="57">
        <f ca="1"/>
        <v>0.1456073605559666</v>
      </c>
      <c r="Q150" s="57">
        <f ca="1"/>
        <v>0.93779576813343901</v>
      </c>
      <c r="R150">
        <f ca="1"/>
        <v>0.1392516713242459</v>
      </c>
      <c r="T150">
        <f ca="1"/>
        <v>0.91524040908830195</v>
      </c>
      <c r="U150">
        <f ca="1"/>
        <v>4.5297927958261056E-2</v>
      </c>
    </row>
    <row r="151" spans="1:23" x14ac:dyDescent="0.4">
      <c r="A151" s="26"/>
      <c r="B151" s="26">
        <v>0.56805555555555554</v>
      </c>
      <c r="C151" s="55">
        <f t="shared" si="48"/>
        <v>818</v>
      </c>
      <c r="D151">
        <v>3</v>
      </c>
      <c r="E151" s="56" cm="1">
        <f t="array" aca="1" ref="E151" ca="1">C151-INDIRECT("C" &amp; (ROW(D151) - D151))</f>
        <v>46</v>
      </c>
      <c r="F151" t="s">
        <v>84</v>
      </c>
      <c r="G151">
        <v>2</v>
      </c>
      <c r="H151">
        <v>190991</v>
      </c>
      <c r="I151" s="28">
        <f t="shared" si="49"/>
        <v>0.37706879361914258</v>
      </c>
      <c r="J151" s="28">
        <f t="shared" si="50"/>
        <v>0.37538670010949693</v>
      </c>
      <c r="L151" s="28">
        <f t="shared" si="51"/>
        <v>-0.97979858404152076</v>
      </c>
      <c r="M151" s="57"/>
      <c r="N151" s="28" cm="1">
        <f t="array" aca="1" ref="N151" ca="1">L151-INDIRECT("L" &amp; (ROW(L151)-D151))</f>
        <v>-0.14122659506027702</v>
      </c>
      <c r="O151" s="57">
        <f ca="1"/>
        <v>218.42248750861597</v>
      </c>
      <c r="P151" s="57">
        <f ca="1"/>
        <v>8</v>
      </c>
      <c r="Q151" s="57">
        <f ca="1"/>
        <v>105.53253661288234</v>
      </c>
      <c r="R151">
        <f ca="1"/>
        <v>7</v>
      </c>
      <c r="T151">
        <f ca="1"/>
        <v>21.596149751166045</v>
      </c>
      <c r="U151">
        <f ca="1"/>
        <v>2</v>
      </c>
    </row>
    <row r="152" spans="1:23" x14ac:dyDescent="0.4">
      <c r="A152" s="26"/>
      <c r="B152" s="26">
        <v>0.58472222222222225</v>
      </c>
      <c r="C152" s="55">
        <f t="shared" si="48"/>
        <v>842</v>
      </c>
      <c r="D152">
        <v>4</v>
      </c>
      <c r="E152" s="56" cm="1">
        <f t="array" aca="1" ref="E152" ca="1">C152-INDIRECT("C" &amp; (ROW(D152) - D152))</f>
        <v>70</v>
      </c>
      <c r="G152">
        <v>2</v>
      </c>
      <c r="H152">
        <v>161620</v>
      </c>
      <c r="I152" s="28">
        <f t="shared" si="49"/>
        <v>0.31908235688972686</v>
      </c>
      <c r="J152" s="28">
        <f t="shared" si="50"/>
        <v>0.31691298239916177</v>
      </c>
      <c r="L152" s="28">
        <f t="shared" si="51"/>
        <v>-1.1491280462605067</v>
      </c>
      <c r="M152" s="57"/>
      <c r="N152" s="28" cm="1">
        <f t="array" aca="1" ref="N152" ca="1">L152-INDIRECT("L" &amp; (ROW(L152)-D152))</f>
        <v>-0.31055605727926294</v>
      </c>
      <c r="O152" s="57">
        <f ca="1"/>
        <v>4.6308851220510956</v>
      </c>
      <c r="P152" s="57">
        <f ca="1"/>
        <v>0.16961202758460203</v>
      </c>
      <c r="Q152" s="57">
        <f ca="1"/>
        <v>2.0463843688461978</v>
      </c>
      <c r="R152">
        <f ca="1"/>
        <v>0.13573719576617069</v>
      </c>
      <c r="T152">
        <f ca="1"/>
        <v>4.4313188855584454E-2</v>
      </c>
      <c r="U152">
        <f ca="1"/>
        <v>4.103804554623617E-3</v>
      </c>
    </row>
    <row r="153" spans="1:23" x14ac:dyDescent="0.4">
      <c r="A153" s="26"/>
      <c r="B153" s="26">
        <v>0.60763888888888884</v>
      </c>
      <c r="C153" s="55">
        <f t="shared" si="48"/>
        <v>875</v>
      </c>
      <c r="D153">
        <v>5</v>
      </c>
      <c r="E153" s="56" cm="1">
        <f t="array" aca="1" ref="E153" ca="1">C153-INDIRECT("C" &amp; (ROW(D153) - D153))</f>
        <v>103</v>
      </c>
      <c r="G153">
        <v>2</v>
      </c>
      <c r="H153">
        <v>168104</v>
      </c>
      <c r="I153" s="28">
        <f t="shared" si="49"/>
        <v>0.33188355724904495</v>
      </c>
      <c r="J153" s="28">
        <f t="shared" si="50"/>
        <v>0.32982175587074303</v>
      </c>
      <c r="L153" s="28">
        <f t="shared" si="51"/>
        <v>-1.1092029041714011</v>
      </c>
      <c r="M153" s="57"/>
      <c r="N153" s="28" cm="1">
        <f t="array" aca="1" ref="N153" ca="1">L153-INDIRECT("L" &amp; (ROW(L153)-D153))</f>
        <v>-0.27063091519015736</v>
      </c>
    </row>
    <row r="154" spans="1:23" x14ac:dyDescent="0.4">
      <c r="A154" s="26"/>
      <c r="B154" s="26">
        <v>0.63402777777777775</v>
      </c>
      <c r="C154" s="55">
        <f t="shared" si="48"/>
        <v>913</v>
      </c>
      <c r="D154">
        <v>6</v>
      </c>
      <c r="E154" s="56" cm="1">
        <f t="array" aca="1" ref="E154" ca="1">C154-INDIRECT("C" &amp; (ROW(D154) - D154))</f>
        <v>141</v>
      </c>
      <c r="F154" t="s">
        <v>84</v>
      </c>
      <c r="G154">
        <v>2</v>
      </c>
      <c r="H154">
        <v>143871</v>
      </c>
      <c r="I154" s="28">
        <f t="shared" si="49"/>
        <v>0.28404094646752809</v>
      </c>
      <c r="J154" s="28">
        <f t="shared" si="50"/>
        <v>0.28157710634316296</v>
      </c>
      <c r="L154" s="28">
        <f t="shared" si="51"/>
        <v>-1.2673489565004423</v>
      </c>
      <c r="M154" s="57"/>
      <c r="N154" s="28" cm="1">
        <f t="array" aca="1" ref="N154" ca="1">L154-INDIRECT("L" &amp; (ROW(L154)-D154))</f>
        <v>-0.42877696751919858</v>
      </c>
    </row>
    <row r="155" spans="1:23" x14ac:dyDescent="0.4">
      <c r="A155" s="26"/>
      <c r="B155" s="26">
        <v>0.65694444444444444</v>
      </c>
      <c r="C155" s="55">
        <f t="shared" si="48"/>
        <v>946</v>
      </c>
      <c r="D155">
        <v>7</v>
      </c>
      <c r="E155" s="56" cm="1">
        <f t="array" aca="1" ref="E155" ca="1">C155-INDIRECT("C" &amp; (ROW(D155) - D155))</f>
        <v>174</v>
      </c>
      <c r="G155">
        <v>2</v>
      </c>
      <c r="H155">
        <v>98038</v>
      </c>
      <c r="I155" s="28">
        <f t="shared" si="49"/>
        <v>0.19355399149087391</v>
      </c>
      <c r="J155" s="28">
        <f t="shared" si="50"/>
        <v>0.19032975678687306</v>
      </c>
      <c r="L155" s="28">
        <f t="shared" si="51"/>
        <v>-1.658997149132927</v>
      </c>
      <c r="N155" s="28" cm="1">
        <f t="array" aca="1" ref="N155" ca="1">L155-INDIRECT("L" &amp; (ROW(L155)-D155))</f>
        <v>-0.82042516015168321</v>
      </c>
    </row>
    <row r="156" spans="1:23" x14ac:dyDescent="0.4">
      <c r="A156" s="26"/>
      <c r="B156" s="26">
        <v>0.69236111111111109</v>
      </c>
      <c r="C156" s="55">
        <f t="shared" si="48"/>
        <v>997</v>
      </c>
      <c r="D156">
        <v>8</v>
      </c>
      <c r="E156" s="56" cm="1">
        <f t="array" aca="1" ref="E156" ca="1">C156-INDIRECT("C" &amp; (ROW(D156) - D156))</f>
        <v>225</v>
      </c>
      <c r="G156">
        <v>2</v>
      </c>
      <c r="H156">
        <v>64074</v>
      </c>
      <c r="I156" s="28">
        <f t="shared" ref="I156:I157" si="52">H156/506515</f>
        <v>0.12649970879440886</v>
      </c>
      <c r="J156" s="28">
        <f t="shared" si="50"/>
        <v>0.12271199272321083</v>
      </c>
      <c r="L156" s="28">
        <f t="shared" ref="L156:L157" si="53">LN(J156)</f>
        <v>-2.0979151918360666</v>
      </c>
      <c r="N156" s="28" cm="1">
        <f t="array" aca="1" ref="N156" ca="1">L156-INDIRECT("L" &amp; (ROW(L156)-D156))</f>
        <v>-1.2593432028548228</v>
      </c>
    </row>
    <row r="157" spans="1:23" x14ac:dyDescent="0.4">
      <c r="B157" s="26">
        <v>0.72777777777777775</v>
      </c>
      <c r="C157" s="55">
        <f t="shared" si="48"/>
        <v>1048</v>
      </c>
      <c r="D157">
        <v>9</v>
      </c>
      <c r="E157" s="56" cm="1">
        <f t="array" aca="1" ref="E157" ca="1">C157-INDIRECT("C" &amp; (ROW(D157) - D157))</f>
        <v>276</v>
      </c>
      <c r="G157">
        <v>2</v>
      </c>
      <c r="H157">
        <v>52681</v>
      </c>
      <c r="I157" s="28">
        <f t="shared" si="52"/>
        <v>0.10400679150666811</v>
      </c>
      <c r="J157" s="28">
        <f t="shared" si="50"/>
        <v>0.1000300593238084</v>
      </c>
      <c r="L157" s="28">
        <f t="shared" si="53"/>
        <v>-2.3022845449250577</v>
      </c>
      <c r="N157" s="28" cm="1">
        <f t="array" aca="1" ref="N157" ca="1">L157-INDIRECT("L" &amp; (ROW(L157)-D157))</f>
        <v>-1.463712555943814</v>
      </c>
    </row>
    <row r="158" spans="1:23" x14ac:dyDescent="0.4">
      <c r="B158" s="26"/>
      <c r="C158" s="55"/>
      <c r="E158" s="56"/>
      <c r="L158" s="28"/>
      <c r="N158" s="28"/>
    </row>
    <row r="160" spans="1:23" s="16" customFormat="1" x14ac:dyDescent="0.4">
      <c r="A160" s="16" t="s">
        <v>88</v>
      </c>
      <c r="I160" s="27"/>
      <c r="J160" s="27"/>
    </row>
    <row r="161" spans="1:23" s="20" customFormat="1" x14ac:dyDescent="0.4">
      <c r="A161" s="19" t="s">
        <v>141</v>
      </c>
      <c r="I161" s="30"/>
      <c r="J161" s="30"/>
    </row>
    <row r="162" spans="1:23" x14ac:dyDescent="0.4">
      <c r="A162" s="26"/>
      <c r="B162" s="26">
        <v>0.47638888888888886</v>
      </c>
      <c r="C162" s="55">
        <f t="shared" ref="C162:C169" si="54">HOUR(B162)*60+MINUTE(B162)</f>
        <v>686</v>
      </c>
      <c r="D162">
        <v>0</v>
      </c>
      <c r="E162" s="56" cm="1">
        <f t="array" aca="1" ref="E162" ca="1">C162-INDIRECT("C" &amp; (ROW(D162) - D162))</f>
        <v>0</v>
      </c>
      <c r="G162">
        <v>0</v>
      </c>
      <c r="H162">
        <v>211232</v>
      </c>
      <c r="I162" s="28">
        <f t="shared" ref="I162:I169" si="55">H162/506515</f>
        <v>0.4170300978253359</v>
      </c>
      <c r="J162" s="28">
        <f t="shared" ref="J162:J169" si="56">(I162*240-$C$325*2)/238</f>
        <v>0.41568381359473389</v>
      </c>
      <c r="L162" s="28">
        <f>LN(J162)</f>
        <v>-0.87783037118975904</v>
      </c>
      <c r="M162" s="57">
        <f ca="1">SLOPE(L162:L171, E162:E171)</f>
        <v>-1.7612578224565249E-2</v>
      </c>
      <c r="N162" s="28" cm="1">
        <f t="array" aca="1" ref="N162" ca="1">L162-INDIRECT("L" &amp; (ROW(L162)-D162))</f>
        <v>0</v>
      </c>
      <c r="O162" s="57" cm="1">
        <f t="array" aca="1" ref="O162:P166" ca="1">LINEST(_xlfn._xlws.FILTER(N162:N173,NOT(ISBLANK(N162:N173))),_xlfn._xlws.FILTER(E162:E173,NOT(ISBLANK(E162:E173))), FALSE, TRUE)</f>
        <v>-1.6072170575121475E-2</v>
      </c>
      <c r="P162" s="57">
        <f ca="1"/>
        <v>0</v>
      </c>
      <c r="Q162" s="57" cm="1">
        <f t="array" aca="1" ref="Q162:R166" ca="1">LINEST(_xlfn._xlws.FILTER(N162:N173, NOT(ISBLANK(N162:N173))),_xlfn._xlws.FILTER(E162:E173, NOT(ISBLANK(E162:E173))), TRUE, TRUE)</f>
        <v>-1.7612578224565238E-2</v>
      </c>
      <c r="R162" s="57">
        <f ca="1"/>
        <v>0.10433813200105224</v>
      </c>
      <c r="S162">
        <f ca="1">ABS(O162)</f>
        <v>1.6072170575121475E-2</v>
      </c>
      <c r="T162" cm="1">
        <f t="array" aca="1" ref="T162:U166" ca="1">LINEST(_xlfn._xlws.FILTER(N162:N166, NOT(ISBLANK(N162:N166))),_xlfn._xlws.FILTER(E162:E166, NOT(ISBLANK(E162:E166))), TRUE, TRUE)</f>
        <v>-1.4431570175794481E-2</v>
      </c>
      <c r="U162">
        <f ca="1"/>
        <v>5.1707135546316285E-2</v>
      </c>
      <c r="V162">
        <f ca="1">S162/(2*'characterization &amp; setup'!$B$230/100)</f>
        <v>0.22360678928743702</v>
      </c>
      <c r="W162">
        <f ca="1">ABS(T162)/(2*'characterization &amp; setup'!$B$230/100)</f>
        <v>0.20078165897398381</v>
      </c>
    </row>
    <row r="163" spans="1:23" x14ac:dyDescent="0.4">
      <c r="A163" s="26"/>
      <c r="B163" s="26">
        <v>0.48194444444444445</v>
      </c>
      <c r="C163" s="55">
        <f t="shared" si="54"/>
        <v>694</v>
      </c>
      <c r="D163">
        <v>1</v>
      </c>
      <c r="E163" s="56" cm="1">
        <f t="array" aca="1" ref="E163" ca="1">C163-INDIRECT("C" &amp; (ROW(D163) - D163))</f>
        <v>8</v>
      </c>
      <c r="G163">
        <v>2</v>
      </c>
      <c r="H163">
        <v>223827</v>
      </c>
      <c r="I163" s="28">
        <f t="shared" si="55"/>
        <v>0.44189609389652823</v>
      </c>
      <c r="J163" s="28">
        <f t="shared" si="56"/>
        <v>0.44075876761610427</v>
      </c>
      <c r="L163" s="28">
        <f>LN(J163)</f>
        <v>-0.81925756540943129</v>
      </c>
      <c r="M163" s="57"/>
      <c r="N163" s="28" cm="1">
        <f t="array" aca="1" ref="N163" ca="1">L163-INDIRECT("L" &amp; (ROW(L163)-D163))</f>
        <v>5.8572805780327752E-2</v>
      </c>
      <c r="O163" s="57">
        <f ca="1"/>
        <v>8.5892638502625598E-4</v>
      </c>
      <c r="P163" s="57" t="e">
        <f ca="1"/>
        <v>#N/A</v>
      </c>
      <c r="Q163" s="57">
        <f ca="1"/>
        <v>1.3273152127835769E-3</v>
      </c>
      <c r="R163">
        <f ca="1"/>
        <v>7.1840744304586812E-2</v>
      </c>
      <c r="T163">
        <f ca="1"/>
        <v>2.4765749472005364E-3</v>
      </c>
      <c r="U163">
        <f ca="1"/>
        <v>6.6407314915480978E-2</v>
      </c>
    </row>
    <row r="164" spans="1:23" x14ac:dyDescent="0.4">
      <c r="A164" s="26"/>
      <c r="B164" s="26">
        <v>0.48958333333333331</v>
      </c>
      <c r="C164" s="55">
        <f t="shared" si="54"/>
        <v>705</v>
      </c>
      <c r="D164">
        <v>2</v>
      </c>
      <c r="E164" s="56" cm="1">
        <f t="array" aca="1" ref="E164" ca="1">C164-INDIRECT("C" &amp; (ROW(D164) - D164))</f>
        <v>19</v>
      </c>
      <c r="G164">
        <v>2</v>
      </c>
      <c r="H164">
        <v>155466</v>
      </c>
      <c r="I164" s="28">
        <f t="shared" si="55"/>
        <v>0.30693266734450114</v>
      </c>
      <c r="J164" s="28">
        <f t="shared" si="56"/>
        <v>0.30466119462246349</v>
      </c>
      <c r="L164" s="28">
        <f t="shared" ref="L164:L169" si="57">LN(J164)</f>
        <v>-1.1885549571151715</v>
      </c>
      <c r="M164" s="57"/>
      <c r="N164" s="28" cm="1">
        <f t="array" aca="1" ref="N164" ca="1">L164-INDIRECT("L" &amp; (ROW(L164)-D164))</f>
        <v>-0.31072458592541241</v>
      </c>
      <c r="O164" s="57">
        <f ca="1"/>
        <v>0.98039964191084272</v>
      </c>
      <c r="P164" s="57">
        <f ca="1"/>
        <v>0.13149150269041024</v>
      </c>
      <c r="Q164" s="57">
        <f ca="1"/>
        <v>0.9670465488742771</v>
      </c>
      <c r="R164">
        <f ca="1"/>
        <v>0.12216709011851586</v>
      </c>
      <c r="T164">
        <f ca="1"/>
        <v>0.91882370502754962</v>
      </c>
      <c r="U164">
        <f ca="1"/>
        <v>9.2333410107343389E-2</v>
      </c>
    </row>
    <row r="165" spans="1:23" x14ac:dyDescent="0.4">
      <c r="A165" s="26"/>
      <c r="B165" s="26">
        <v>0.49791666666666667</v>
      </c>
      <c r="C165" s="55">
        <f t="shared" si="54"/>
        <v>717</v>
      </c>
      <c r="D165">
        <v>3</v>
      </c>
      <c r="E165" s="56" cm="1">
        <f t="array" aca="1" ref="E165" ca="1">C165-INDIRECT("C" &amp; (ROW(D165) - D165))</f>
        <v>31</v>
      </c>
      <c r="G165">
        <v>2</v>
      </c>
      <c r="H165">
        <v>144153</v>
      </c>
      <c r="I165" s="28">
        <f t="shared" si="55"/>
        <v>0.28459769207229796</v>
      </c>
      <c r="J165" s="28">
        <f t="shared" si="56"/>
        <v>0.28213853048242671</v>
      </c>
      <c r="L165" s="28">
        <f t="shared" si="57"/>
        <v>-1.2653570858188044</v>
      </c>
      <c r="M165" s="57"/>
      <c r="N165" s="28" cm="1">
        <f t="array" aca="1" ref="N165" ca="1">L165-INDIRECT("L" &amp; (ROW(L165)-D165))</f>
        <v>-0.38752671462904531</v>
      </c>
      <c r="O165" s="57">
        <f ca="1"/>
        <v>350.13633231386336</v>
      </c>
      <c r="P165" s="57">
        <f ca="1"/>
        <v>7</v>
      </c>
      <c r="Q165" s="57">
        <f ca="1"/>
        <v>176.07501172211062</v>
      </c>
      <c r="R165">
        <f ca="1"/>
        <v>6</v>
      </c>
      <c r="T165">
        <f ca="1"/>
        <v>33.956601690408981</v>
      </c>
      <c r="U165">
        <f ca="1"/>
        <v>3</v>
      </c>
    </row>
    <row r="166" spans="1:23" x14ac:dyDescent="0.4">
      <c r="A166" s="26"/>
      <c r="B166" s="26">
        <v>0.50902777777777775</v>
      </c>
      <c r="C166" s="55">
        <f t="shared" si="54"/>
        <v>733</v>
      </c>
      <c r="D166">
        <v>4</v>
      </c>
      <c r="E166" s="56" cm="1">
        <f t="array" aca="1" ref="E166" ca="1">C166-INDIRECT("C" &amp; (ROW(D166) - D166))</f>
        <v>47</v>
      </c>
      <c r="G166">
        <v>2</v>
      </c>
      <c r="H166">
        <v>115083</v>
      </c>
      <c r="I166" s="28">
        <f t="shared" si="55"/>
        <v>0.22720551217634227</v>
      </c>
      <c r="J166" s="28">
        <f t="shared" si="56"/>
        <v>0.2242640633604546</v>
      </c>
      <c r="L166" s="28">
        <f t="shared" si="57"/>
        <v>-1.494931067142468</v>
      </c>
      <c r="M166" s="57"/>
      <c r="N166" s="28" cm="1">
        <f t="array" aca="1" ref="N166" ca="1">L166-INDIRECT("L" &amp; (ROW(L166)-D166))</f>
        <v>-0.617100695952709</v>
      </c>
      <c r="O166" s="57">
        <f ca="1"/>
        <v>6.0538625357135825</v>
      </c>
      <c r="P166" s="57">
        <f ca="1"/>
        <v>0.12103010695847513</v>
      </c>
      <c r="Q166" s="57">
        <f ca="1"/>
        <v>2.6278839666057352</v>
      </c>
      <c r="R166">
        <f ca="1"/>
        <v>8.954878744815345E-2</v>
      </c>
      <c r="T166">
        <f ca="1"/>
        <v>0.2894956026570441</v>
      </c>
      <c r="U166">
        <f ca="1"/>
        <v>2.5576375866152586E-2</v>
      </c>
    </row>
    <row r="167" spans="1:23" x14ac:dyDescent="0.4">
      <c r="A167" s="26"/>
      <c r="B167" s="26">
        <v>0.52152777777777781</v>
      </c>
      <c r="C167" s="55">
        <f t="shared" si="54"/>
        <v>751</v>
      </c>
      <c r="D167">
        <v>5</v>
      </c>
      <c r="E167" s="56" cm="1">
        <f t="array" aca="1" ref="E167" ca="1">C167-INDIRECT("C" &amp; (ROW(D167) - D167))</f>
        <v>65</v>
      </c>
      <c r="G167">
        <v>2</v>
      </c>
      <c r="H167">
        <v>68640</v>
      </c>
      <c r="I167" s="28">
        <f t="shared" si="55"/>
        <v>0.13551424933121428</v>
      </c>
      <c r="J167" s="28">
        <f t="shared" si="56"/>
        <v>0.13180228570150201</v>
      </c>
      <c r="L167" s="28">
        <f t="shared" si="57"/>
        <v>-2.026452314867579</v>
      </c>
      <c r="M167" s="57"/>
      <c r="N167" s="28" cm="1">
        <f t="array" aca="1" ref="N167" ca="1">L167-INDIRECT("L" &amp; (ROW(L167)-D167))</f>
        <v>-1.14862194367782</v>
      </c>
    </row>
    <row r="168" spans="1:23" x14ac:dyDescent="0.4">
      <c r="A168" s="26"/>
      <c r="B168" s="26">
        <v>0.53194444444444444</v>
      </c>
      <c r="C168" s="55">
        <f t="shared" si="54"/>
        <v>766</v>
      </c>
      <c r="D168">
        <v>6</v>
      </c>
      <c r="E168" s="56" cm="1">
        <f t="array" aca="1" ref="E168" ca="1">C168-INDIRECT("C" &amp; (ROW(D168) - D168))</f>
        <v>80</v>
      </c>
      <c r="G168">
        <v>2</v>
      </c>
      <c r="H168">
        <v>68489</v>
      </c>
      <c r="I168" s="28">
        <f t="shared" si="55"/>
        <v>0.13521613377688715</v>
      </c>
      <c r="J168" s="28">
        <f t="shared" si="56"/>
        <v>0.13150166497444946</v>
      </c>
      <c r="L168" s="28">
        <f t="shared" si="57"/>
        <v>-2.028735766041815</v>
      </c>
      <c r="M168" s="57"/>
      <c r="N168" s="28" cm="1">
        <f t="array" aca="1" ref="N168" ca="1">L168-INDIRECT("L" &amp; (ROW(L168)-D168))</f>
        <v>-1.150905394852056</v>
      </c>
    </row>
    <row r="169" spans="1:23" x14ac:dyDescent="0.4">
      <c r="A169" s="26"/>
      <c r="B169" s="26">
        <v>0.54305555555555551</v>
      </c>
      <c r="C169" s="55">
        <f t="shared" si="54"/>
        <v>782</v>
      </c>
      <c r="D169">
        <v>7</v>
      </c>
      <c r="E169" s="56" cm="1">
        <f t="array" aca="1" ref="E169" ca="1">C169-INDIRECT("C" &amp; (ROW(D169) - D169))</f>
        <v>96</v>
      </c>
      <c r="G169">
        <v>2</v>
      </c>
      <c r="H169">
        <v>40468</v>
      </c>
      <c r="I169" s="28">
        <f t="shared" si="55"/>
        <v>7.9894968559667531E-2</v>
      </c>
      <c r="J169" s="28">
        <f t="shared" si="56"/>
        <v>7.5715616015908663E-2</v>
      </c>
      <c r="L169" s="28">
        <f t="shared" si="57"/>
        <v>-2.5807708516241985</v>
      </c>
      <c r="N169" s="28" cm="1">
        <f t="array" aca="1" ref="N169" ca="1">L169-INDIRECT("L" &amp; (ROW(L169)-D169))</f>
        <v>-1.7029404804344395</v>
      </c>
    </row>
    <row r="170" spans="1:23" x14ac:dyDescent="0.4">
      <c r="A170" s="26"/>
      <c r="B170" s="26"/>
      <c r="C170" s="55"/>
      <c r="E170" s="56"/>
      <c r="L170" s="28"/>
      <c r="N170" s="28"/>
    </row>
    <row r="171" spans="1:23" x14ac:dyDescent="0.4">
      <c r="A171" s="26"/>
      <c r="B171" s="26"/>
      <c r="C171" s="55"/>
      <c r="E171" s="56"/>
      <c r="L171" s="28"/>
      <c r="N171" s="28"/>
    </row>
    <row r="172" spans="1:23" x14ac:dyDescent="0.4">
      <c r="A172" s="26"/>
      <c r="B172" s="26"/>
      <c r="C172" s="55"/>
      <c r="E172" s="56"/>
      <c r="L172" s="28"/>
      <c r="N172" s="28"/>
    </row>
    <row r="174" spans="1:23" s="20" customFormat="1" x14ac:dyDescent="0.4">
      <c r="A174" s="19" t="s">
        <v>154</v>
      </c>
      <c r="I174" s="30"/>
      <c r="J174" s="30"/>
    </row>
    <row r="175" spans="1:23" x14ac:dyDescent="0.4">
      <c r="A175" s="26"/>
      <c r="B175" s="26">
        <v>0.48749999999999999</v>
      </c>
      <c r="C175" s="55">
        <f t="shared" ref="C175:C182" si="58">HOUR(B175)*60+MINUTE(B175)</f>
        <v>702</v>
      </c>
      <c r="D175">
        <v>0</v>
      </c>
      <c r="E175" s="56" cm="1">
        <f t="array" aca="1" ref="E175" ca="1">C175-INDIRECT("C" &amp; (ROW(D175) - D175))</f>
        <v>0</v>
      </c>
      <c r="G175">
        <v>0</v>
      </c>
      <c r="H175">
        <v>229223</v>
      </c>
      <c r="I175" s="28">
        <f t="shared" ref="I175:I182" si="59">H175/506515</f>
        <v>0.45254928284453572</v>
      </c>
      <c r="J175" s="28">
        <f t="shared" ref="J175:J182" si="60">(I175*240-$C$325*2)/238</f>
        <v>0.45150147916031352</v>
      </c>
      <c r="L175" s="28">
        <f>LN(J175)</f>
        <v>-0.7951766300278863</v>
      </c>
      <c r="M175" s="57">
        <f ca="1">SLOPE(L175:L184, E175:E184)</f>
        <v>-2.1145656115157532E-2</v>
      </c>
      <c r="N175" s="28" cm="1">
        <f t="array" aca="1" ref="N175" ca="1">L175-INDIRECT("L" &amp; (ROW(L175)-D175))</f>
        <v>0</v>
      </c>
      <c r="O175" s="57" cm="1">
        <f t="array" aca="1" ref="O175:P179" ca="1">LINEST(_xlfn._xlws.FILTER(N175:N186,NOT(ISBLANK(N175:N186))),_xlfn._xlws.FILTER(E175:E186,NOT(ISBLANK(E175:E186))), FALSE, TRUE)</f>
        <v>-1.9019068714076163E-2</v>
      </c>
      <c r="P175" s="57">
        <f ca="1"/>
        <v>0</v>
      </c>
      <c r="Q175" s="57" cm="1">
        <f t="array" aca="1" ref="Q175:R179" ca="1">LINEST(_xlfn._xlws.FILTER(N175:N186, NOT(ISBLANK(N175:N186))),_xlfn._xlws.FILTER(E175:E186, NOT(ISBLANK(E175:E186))), TRUE, TRUE)</f>
        <v>-2.1145656115157528E-2</v>
      </c>
      <c r="R175" s="57">
        <f ca="1"/>
        <v>0.11815995194961482</v>
      </c>
      <c r="S175">
        <f ca="1">ABS(O175)</f>
        <v>1.9019068714076163E-2</v>
      </c>
      <c r="T175" cm="1">
        <f t="array" aca="1" ref="T175:U179" ca="1">LINEST(_xlfn._xlws.FILTER(N175:N179, NOT(ISBLANK(N175:N179))),_xlfn._xlws.FILTER(E175:E179, NOT(ISBLANK(E175:E179))), TRUE, TRUE)</f>
        <v>-1.2933983565582128E-2</v>
      </c>
      <c r="U175">
        <f ca="1"/>
        <v>-8.0861942670054643E-4</v>
      </c>
      <c r="V175">
        <f ca="1">S175/(2*'characterization &amp; setup'!$B$230/100)</f>
        <v>0.26460600766487147</v>
      </c>
      <c r="W175">
        <f ca="1">ABS(T175)/(2*'characterization &amp; setup'!$B$230/100)</f>
        <v>0.1799462321706001</v>
      </c>
    </row>
    <row r="176" spans="1:23" x14ac:dyDescent="0.4">
      <c r="A176" s="26"/>
      <c r="B176" s="26">
        <v>0.4909722222222222</v>
      </c>
      <c r="C176" s="55">
        <f t="shared" si="58"/>
        <v>707</v>
      </c>
      <c r="D176">
        <v>1</v>
      </c>
      <c r="E176" s="56" cm="1">
        <f t="array" aca="1" ref="E176" ca="1">C176-INDIRECT("C" &amp; (ROW(D176) - D176))</f>
        <v>5</v>
      </c>
      <c r="G176">
        <v>2</v>
      </c>
      <c r="H176">
        <v>216178</v>
      </c>
      <c r="I176" s="28">
        <f t="shared" si="59"/>
        <v>0.42679486293594465</v>
      </c>
      <c r="J176" s="28">
        <f t="shared" si="60"/>
        <v>0.42553063555501158</v>
      </c>
      <c r="L176" s="28">
        <f t="shared" ref="L176:L182" si="61">LN(J176)</f>
        <v>-0.85441833460630978</v>
      </c>
      <c r="M176" s="57"/>
      <c r="N176" s="28" cm="1">
        <f t="array" aca="1" ref="N176" ca="1">L176-INDIRECT("L" &amp; (ROW(L176)-D176))</f>
        <v>-5.9241704578423482E-2</v>
      </c>
      <c r="O176" s="57">
        <f ca="1"/>
        <v>1.3131744650056814E-3</v>
      </c>
      <c r="P176" s="57" t="e">
        <f ca="1"/>
        <v>#N/A</v>
      </c>
      <c r="Q176" s="57">
        <f ca="1"/>
        <v>2.0320518721054772E-3</v>
      </c>
      <c r="R176">
        <f ca="1"/>
        <v>8.9129858195067829E-2</v>
      </c>
      <c r="T176">
        <f ca="1"/>
        <v>4.630411750702836E-4</v>
      </c>
      <c r="U176">
        <f ca="1"/>
        <v>9.7216594684474897E-3</v>
      </c>
    </row>
    <row r="177" spans="1:23" x14ac:dyDescent="0.4">
      <c r="A177" s="26"/>
      <c r="B177" s="26">
        <v>0.49791666666666667</v>
      </c>
      <c r="C177" s="55">
        <f t="shared" si="58"/>
        <v>717</v>
      </c>
      <c r="D177">
        <v>2</v>
      </c>
      <c r="E177" s="56" cm="1">
        <f t="array" aca="1" ref="E177" ca="1">C177-INDIRECT("C" &amp; (ROW(D177) - D177))</f>
        <v>15</v>
      </c>
      <c r="G177">
        <v>2</v>
      </c>
      <c r="H177">
        <v>188361</v>
      </c>
      <c r="I177" s="28">
        <f t="shared" si="59"/>
        <v>0.37187644985834578</v>
      </c>
      <c r="J177" s="28">
        <f t="shared" si="60"/>
        <v>0.37015072320785308</v>
      </c>
      <c r="L177" s="28">
        <f t="shared" si="61"/>
        <v>-0.99384499627120992</v>
      </c>
      <c r="M177" s="57"/>
      <c r="N177" s="28" cm="1">
        <f t="array" aca="1" ref="N177" ca="1">L177-INDIRECT("L" &amp; (ROW(L177)-D177))</f>
        <v>-0.19866836624332362</v>
      </c>
      <c r="O177" s="57">
        <f ca="1"/>
        <v>0.96770700767339468</v>
      </c>
      <c r="P177" s="57">
        <f ca="1"/>
        <v>0.16291304017414215</v>
      </c>
      <c r="Q177" s="57">
        <f ca="1"/>
        <v>0.94750018151235438</v>
      </c>
      <c r="R177">
        <f ca="1"/>
        <v>0.15475479232976083</v>
      </c>
      <c r="T177">
        <f ca="1"/>
        <v>0.99616973157892996</v>
      </c>
      <c r="U177">
        <f ca="1"/>
        <v>1.3572715495918824E-2</v>
      </c>
    </row>
    <row r="178" spans="1:23" x14ac:dyDescent="0.4">
      <c r="A178" s="26"/>
      <c r="B178" s="26">
        <v>0.50624999999999998</v>
      </c>
      <c r="C178" s="55">
        <f t="shared" si="58"/>
        <v>729</v>
      </c>
      <c r="D178">
        <v>3</v>
      </c>
      <c r="E178" s="56" cm="1">
        <f t="array" aca="1" ref="E178" ca="1">C178-INDIRECT("C" &amp; (ROW(D178) - D178))</f>
        <v>27</v>
      </c>
      <c r="G178">
        <v>2</v>
      </c>
      <c r="H178">
        <v>159505</v>
      </c>
      <c r="I178" s="28">
        <f t="shared" si="59"/>
        <v>0.31490676485395297</v>
      </c>
      <c r="J178" s="28">
        <f t="shared" si="60"/>
        <v>0.31270230135468385</v>
      </c>
      <c r="L178" s="28">
        <f t="shared" si="61"/>
        <v>-1.1625036549205949</v>
      </c>
      <c r="M178" s="57"/>
      <c r="N178" s="28" cm="1">
        <f t="array" aca="1" ref="N178" ca="1">L178-INDIRECT("L" &amp; (ROW(L178)-D178))</f>
        <v>-0.36732702489270863</v>
      </c>
      <c r="O178" s="57">
        <f ca="1"/>
        <v>209.76529474888213</v>
      </c>
      <c r="P178" s="57">
        <f ca="1"/>
        <v>7</v>
      </c>
      <c r="Q178" s="57">
        <f ca="1"/>
        <v>108.28610941601491</v>
      </c>
      <c r="R178">
        <f ca="1"/>
        <v>6</v>
      </c>
      <c r="T178">
        <f ca="1"/>
        <v>780.23492512878295</v>
      </c>
      <c r="U178">
        <f ca="1"/>
        <v>3</v>
      </c>
    </row>
    <row r="179" spans="1:23" x14ac:dyDescent="0.4">
      <c r="A179" s="26"/>
      <c r="B179" s="26">
        <v>0.51180555555555551</v>
      </c>
      <c r="C179" s="55">
        <f t="shared" si="58"/>
        <v>737</v>
      </c>
      <c r="D179">
        <v>4</v>
      </c>
      <c r="E179" s="56" cm="1">
        <f t="array" aca="1" ref="E179" ca="1">C179-INDIRECT("C" &amp; (ROW(D179) - D179))</f>
        <v>35</v>
      </c>
      <c r="G179">
        <v>2</v>
      </c>
      <c r="H179">
        <v>148584</v>
      </c>
      <c r="I179" s="28">
        <f t="shared" si="59"/>
        <v>0.2933457054578838</v>
      </c>
      <c r="J179" s="28">
        <f t="shared" si="60"/>
        <v>0.29096005658553847</v>
      </c>
      <c r="L179" s="28">
        <f t="shared" si="61"/>
        <v>-1.2345692838246676</v>
      </c>
      <c r="M179" s="57"/>
      <c r="N179" s="28" cm="1">
        <f t="array" aca="1" ref="N179" ca="1">L179-INDIRECT("L" &amp; (ROW(L179)-D179))</f>
        <v>-0.43939265379678127</v>
      </c>
      <c r="O179" s="57">
        <f ca="1"/>
        <v>5.5673090863888044</v>
      </c>
      <c r="P179" s="57">
        <f ca="1"/>
        <v>0.18578461061147158</v>
      </c>
      <c r="Q179" s="57">
        <f ca="1"/>
        <v>2.5933489883883274</v>
      </c>
      <c r="R179">
        <f ca="1"/>
        <v>0.14369427449416439</v>
      </c>
      <c r="T179">
        <f ca="1"/>
        <v>0.14373379020758392</v>
      </c>
      <c r="U179">
        <f ca="1"/>
        <v>5.5265581779946485E-4</v>
      </c>
    </row>
    <row r="180" spans="1:23" x14ac:dyDescent="0.4">
      <c r="A180" s="26"/>
      <c r="B180" s="26">
        <v>0.52152777777777781</v>
      </c>
      <c r="C180" s="55">
        <f t="shared" si="58"/>
        <v>751</v>
      </c>
      <c r="D180">
        <v>5</v>
      </c>
      <c r="E180" s="56" cm="1">
        <f t="array" aca="1" ref="E180" ca="1">C180-INDIRECT("C" &amp; (ROW(D180) - D180))</f>
        <v>49</v>
      </c>
      <c r="G180">
        <v>2</v>
      </c>
      <c r="H180">
        <v>110452</v>
      </c>
      <c r="I180" s="28">
        <f t="shared" si="59"/>
        <v>0.21806264375191259</v>
      </c>
      <c r="J180" s="28">
        <f t="shared" si="60"/>
        <v>0.21504436410892888</v>
      </c>
      <c r="L180" s="28">
        <f t="shared" si="61"/>
        <v>-1.5369109274479198</v>
      </c>
      <c r="M180" s="57"/>
      <c r="N180" s="28" cm="1">
        <f t="array" aca="1" ref="N180" ca="1">L180-INDIRECT("L" &amp; (ROW(L180)-D180))</f>
        <v>-0.74173429742003349</v>
      </c>
    </row>
    <row r="181" spans="1:23" x14ac:dyDescent="0.4">
      <c r="A181" s="26"/>
      <c r="B181" s="26">
        <v>0.53263888888888888</v>
      </c>
      <c r="C181" s="55">
        <f t="shared" si="58"/>
        <v>767</v>
      </c>
      <c r="D181">
        <v>6</v>
      </c>
      <c r="E181" s="56" cm="1">
        <f t="array" aca="1" ref="E181" ca="1">C181-INDIRECT("C" &amp; (ROW(D181) - D181))</f>
        <v>65</v>
      </c>
      <c r="G181">
        <v>2</v>
      </c>
      <c r="H181">
        <v>53813</v>
      </c>
      <c r="I181" s="28">
        <f t="shared" si="59"/>
        <v>0.10624167102652439</v>
      </c>
      <c r="J181" s="28">
        <f t="shared" si="60"/>
        <v>0.10228371934383154</v>
      </c>
      <c r="L181" s="28">
        <f t="shared" si="61"/>
        <v>-2.2800047648887616</v>
      </c>
      <c r="M181" s="57"/>
      <c r="N181" s="28" cm="1">
        <f t="array" aca="1" ref="N181" ca="1">L181-INDIRECT("L" &amp; (ROW(L181)-D181))</f>
        <v>-1.4848281348608752</v>
      </c>
    </row>
    <row r="182" spans="1:23" x14ac:dyDescent="0.4">
      <c r="A182" s="26"/>
      <c r="B182" s="26">
        <v>0.54374999999999996</v>
      </c>
      <c r="C182" s="55">
        <f t="shared" si="58"/>
        <v>783</v>
      </c>
      <c r="D182">
        <v>7</v>
      </c>
      <c r="E182" s="56" cm="1">
        <f t="array" aca="1" ref="E182" ca="1">C182-INDIRECT("C" &amp; (ROW(D182) - D182))</f>
        <v>81</v>
      </c>
      <c r="G182">
        <v>2</v>
      </c>
      <c r="H182">
        <v>47278</v>
      </c>
      <c r="I182" s="28">
        <f t="shared" si="59"/>
        <v>9.333978263230111E-2</v>
      </c>
      <c r="J182" s="28">
        <f t="shared" si="60"/>
        <v>8.9273411719404699E-2</v>
      </c>
      <c r="L182" s="28">
        <f t="shared" si="61"/>
        <v>-2.4160515765374573</v>
      </c>
      <c r="N182" s="28" cm="1">
        <f t="array" aca="1" ref="N182" ca="1">L182-INDIRECT("L" &amp; (ROW(L182)-D182))</f>
        <v>-1.6208749465095709</v>
      </c>
    </row>
    <row r="183" spans="1:23" x14ac:dyDescent="0.4">
      <c r="A183" s="26"/>
      <c r="B183" s="26"/>
      <c r="C183" s="55"/>
      <c r="E183" s="56"/>
      <c r="L183" s="28"/>
      <c r="N183" s="28"/>
    </row>
    <row r="184" spans="1:23" x14ac:dyDescent="0.4">
      <c r="A184" s="26"/>
      <c r="B184" s="26"/>
      <c r="C184" s="55"/>
      <c r="E184" s="56"/>
      <c r="L184" s="28"/>
      <c r="N184" s="28"/>
    </row>
    <row r="185" spans="1:23" x14ac:dyDescent="0.4">
      <c r="A185" s="26"/>
      <c r="B185" s="26"/>
      <c r="C185" s="55"/>
      <c r="E185" s="56"/>
      <c r="L185" s="28"/>
      <c r="N185" s="28"/>
    </row>
    <row r="186" spans="1:23" x14ac:dyDescent="0.4">
      <c r="C186" s="55"/>
    </row>
    <row r="187" spans="1:23" s="20" customFormat="1" x14ac:dyDescent="0.4">
      <c r="A187" s="54" t="s">
        <v>155</v>
      </c>
      <c r="I187" s="30"/>
      <c r="J187" s="30"/>
    </row>
    <row r="188" spans="1:23" x14ac:dyDescent="0.4">
      <c r="A188" s="26"/>
      <c r="B188" s="26">
        <v>0.47916666666666669</v>
      </c>
      <c r="C188" s="55">
        <f t="shared" ref="C188:C195" si="62">HOUR(B188)*60+MINUTE(B188)</f>
        <v>690</v>
      </c>
      <c r="D188">
        <v>0</v>
      </c>
      <c r="E188" s="56" cm="1">
        <f t="array" aca="1" ref="E188" ca="1">C188-INDIRECT("C" &amp; (ROW(D188) - D188))</f>
        <v>0</v>
      </c>
      <c r="G188">
        <v>0</v>
      </c>
      <c r="H188">
        <v>211374</v>
      </c>
      <c r="I188" s="28">
        <f t="shared" ref="I188:I195" si="63">H188/506515</f>
        <v>0.41731044490291502</v>
      </c>
      <c r="J188" s="28">
        <f t="shared" ref="J188:J195" si="64">(I188*240-$C$325*2)/238</f>
        <v>0.4159665165301078</v>
      </c>
      <c r="L188" s="28">
        <f>LN(J188)</f>
        <v>-0.87715051107061381</v>
      </c>
      <c r="M188" s="57">
        <f ca="1">SLOPE(L188:L197, E188:E197)</f>
        <v>-1.8515522223389275E-2</v>
      </c>
      <c r="N188" s="28" cm="1">
        <f t="array" aca="1" ref="N188" ca="1">L188-INDIRECT("L" &amp; (ROW(L188)-D188))</f>
        <v>0</v>
      </c>
      <c r="O188" s="57" cm="1">
        <f t="array" aca="1" ref="O188:P192" ca="1">LINEST(_xlfn._xlws.FILTER(N188:N199,NOT(ISBLANK(N188:N199))),_xlfn._xlws.FILTER(E188:E199,NOT(ISBLANK(E188:E199))), FALSE, TRUE)</f>
        <v>-1.7791373516313602E-2</v>
      </c>
      <c r="P188" s="57">
        <f ca="1"/>
        <v>0</v>
      </c>
      <c r="Q188" s="57" cm="1">
        <f t="array" aca="1" ref="Q188:R192" ca="1">LINEST(_xlfn._xlws.FILTER(N188:N199, NOT(ISBLANK(N188:N199))),_xlfn._xlws.FILTER(E188:E199, NOT(ISBLANK(E188:E199))), TRUE, TRUE)</f>
        <v>-1.8515522223389279E-2</v>
      </c>
      <c r="R188" s="57">
        <f ca="1"/>
        <v>4.7757832122543586E-2</v>
      </c>
      <c r="S188">
        <f ca="1">ABS(O188)</f>
        <v>1.7791373516313602E-2</v>
      </c>
      <c r="T188" cm="1">
        <f t="array" aca="1" ref="T188:U192" ca="1">LINEST(_xlfn._xlws.FILTER(N188:N192, NOT(ISBLANK(N188:N192))),_xlfn._xlws.FILTER(E188:E192, NOT(ISBLANK(E188:E192))), TRUE, TRUE)</f>
        <v>-1.7550431787360439E-2</v>
      </c>
      <c r="U188">
        <f ca="1"/>
        <v>3.7718630456981095E-2</v>
      </c>
      <c r="V188">
        <f ca="1">S188/(2*'characterization &amp; setup'!$B$230/100)</f>
        <v>0.24752549074824357</v>
      </c>
      <c r="W188">
        <f ca="1">ABS(T188)/(2*'characterization &amp; setup'!$B$230/100)</f>
        <v>0.24417334822556669</v>
      </c>
    </row>
    <row r="189" spans="1:23" x14ac:dyDescent="0.4">
      <c r="A189" s="26"/>
      <c r="B189" s="26">
        <v>0.48194444444444445</v>
      </c>
      <c r="C189" s="55">
        <f t="shared" si="62"/>
        <v>694</v>
      </c>
      <c r="D189">
        <v>1</v>
      </c>
      <c r="E189" s="56" cm="1">
        <f t="array" aca="1" ref="E189" ca="1">C189-INDIRECT("C" &amp; (ROW(D189) - D189))</f>
        <v>4</v>
      </c>
      <c r="G189">
        <v>2</v>
      </c>
      <c r="H189">
        <v>208061</v>
      </c>
      <c r="I189" s="28">
        <f t="shared" si="63"/>
        <v>0.41076967118446639</v>
      </c>
      <c r="J189" s="28">
        <f t="shared" si="64"/>
        <v>0.40937077832663016</v>
      </c>
      <c r="L189" s="28">
        <f t="shared" ref="L189:L195" si="65">LN(J189)</f>
        <v>-0.89313398513036224</v>
      </c>
      <c r="M189" s="57"/>
      <c r="N189" s="28" cm="1">
        <f t="array" aca="1" ref="N189" ca="1">L189-INDIRECT("L" &amp; (ROW(L189)-D189))</f>
        <v>-1.5983474059748426E-2</v>
      </c>
      <c r="O189" s="57">
        <f ca="1"/>
        <v>4.1347119071212307E-4</v>
      </c>
      <c r="P189" s="57" t="e">
        <f ca="1"/>
        <v>#N/A</v>
      </c>
      <c r="Q189" s="57">
        <f ca="1"/>
        <v>6.0713608833271146E-4</v>
      </c>
      <c r="R189">
        <f ca="1"/>
        <v>3.1280768419064749E-2</v>
      </c>
      <c r="T189">
        <f ca="1"/>
        <v>1.5534885824891947E-3</v>
      </c>
      <c r="U189">
        <f ca="1"/>
        <v>3.7650871811658305E-2</v>
      </c>
    </row>
    <row r="190" spans="1:23" x14ac:dyDescent="0.4">
      <c r="A190" s="26"/>
      <c r="B190" s="26">
        <v>0.49027777777777776</v>
      </c>
      <c r="C190" s="55">
        <f t="shared" si="62"/>
        <v>706</v>
      </c>
      <c r="D190">
        <v>2</v>
      </c>
      <c r="E190" s="56" cm="1">
        <f t="array" aca="1" ref="E190" ca="1">C190-INDIRECT("C" &amp; (ROW(D190) - D190))</f>
        <v>16</v>
      </c>
      <c r="G190">
        <v>2</v>
      </c>
      <c r="H190">
        <v>164720</v>
      </c>
      <c r="I190" s="28">
        <f t="shared" si="63"/>
        <v>0.32520260999180678</v>
      </c>
      <c r="J190" s="28">
        <f t="shared" si="64"/>
        <v>0.32308466619957849</v>
      </c>
      <c r="L190" s="28">
        <f t="shared" si="65"/>
        <v>-1.1298408656511945</v>
      </c>
      <c r="M190" s="57"/>
      <c r="N190" s="28" cm="1">
        <f t="array" aca="1" ref="N190" ca="1">L190-INDIRECT("L" &amp; (ROW(L190)-D190))</f>
        <v>-0.25269035458058065</v>
      </c>
      <c r="O190" s="57">
        <f ca="1"/>
        <v>0.99623356251555251</v>
      </c>
      <c r="P190" s="57">
        <f ca="1"/>
        <v>6.0253407579625391E-2</v>
      </c>
      <c r="Q190" s="57">
        <f ca="1"/>
        <v>0.99358999123246805</v>
      </c>
      <c r="R190">
        <f ca="1"/>
        <v>5.5231033471639213E-2</v>
      </c>
      <c r="T190">
        <f ca="1"/>
        <v>0.97703471860704239</v>
      </c>
      <c r="U190">
        <f ca="1"/>
        <v>5.5596662980828514E-2</v>
      </c>
    </row>
    <row r="191" spans="1:23" x14ac:dyDescent="0.4">
      <c r="A191" s="26"/>
      <c r="B191" s="26">
        <v>0.49791666666666667</v>
      </c>
      <c r="C191" s="55">
        <f t="shared" si="62"/>
        <v>717</v>
      </c>
      <c r="D191">
        <v>3</v>
      </c>
      <c r="E191" s="56" cm="1">
        <f t="array" aca="1" ref="E191" ca="1">C191-INDIRECT("C" &amp; (ROW(D191) - D191))</f>
        <v>27</v>
      </c>
      <c r="G191">
        <v>2</v>
      </c>
      <c r="H191">
        <v>147985</v>
      </c>
      <c r="I191" s="28">
        <f t="shared" si="63"/>
        <v>0.29216311461654643</v>
      </c>
      <c r="J191" s="28">
        <f t="shared" si="64"/>
        <v>0.28976752800603861</v>
      </c>
      <c r="L191" s="28">
        <f t="shared" si="65"/>
        <v>-1.2386763050421921</v>
      </c>
      <c r="M191" s="57"/>
      <c r="N191" s="28" cm="1">
        <f t="array" aca="1" ref="N191" ca="1">L191-INDIRECT("L" &amp; (ROW(L191)-D191))</f>
        <v>-0.36152579397157825</v>
      </c>
      <c r="O191" s="57">
        <f ca="1"/>
        <v>1851.5201610022091</v>
      </c>
      <c r="P191" s="57">
        <f ca="1"/>
        <v>7</v>
      </c>
      <c r="Q191" s="57">
        <f ca="1"/>
        <v>930.03616119703599</v>
      </c>
      <c r="R191">
        <f ca="1"/>
        <v>6</v>
      </c>
      <c r="T191">
        <f ca="1"/>
        <v>127.63197217866315</v>
      </c>
      <c r="U191">
        <f ca="1"/>
        <v>3</v>
      </c>
    </row>
    <row r="192" spans="1:23" x14ac:dyDescent="0.4">
      <c r="A192" s="26"/>
      <c r="B192" s="26">
        <v>0.50972222222222219</v>
      </c>
      <c r="C192" s="55">
        <f t="shared" si="62"/>
        <v>734</v>
      </c>
      <c r="D192">
        <v>4</v>
      </c>
      <c r="E192" s="56" cm="1">
        <f t="array" aca="1" ref="E192" ca="1">C192-INDIRECT("C" &amp; (ROW(D192) - D192))</f>
        <v>44</v>
      </c>
      <c r="G192">
        <v>2</v>
      </c>
      <c r="H192">
        <v>98378</v>
      </c>
      <c r="I192" s="28">
        <f t="shared" si="63"/>
        <v>0.19422524505690847</v>
      </c>
      <c r="J192" s="28">
        <f t="shared" si="64"/>
        <v>0.19100665113917684</v>
      </c>
      <c r="L192" s="28">
        <f t="shared" si="65"/>
        <v>-1.6554470288236007</v>
      </c>
      <c r="M192" s="57"/>
      <c r="N192" s="28" cm="1">
        <f t="array" aca="1" ref="N192" ca="1">L192-INDIRECT("L" &amp; (ROW(L192)-D192))</f>
        <v>-0.77829651775298692</v>
      </c>
      <c r="O192" s="57">
        <f ca="1"/>
        <v>6.7218941848335749</v>
      </c>
      <c r="P192" s="57">
        <f ca="1"/>
        <v>2.541331187469521E-2</v>
      </c>
      <c r="Q192" s="57">
        <f ca="1"/>
        <v>2.8370446728015066</v>
      </c>
      <c r="R192">
        <f ca="1"/>
        <v>1.8302802350071985E-2</v>
      </c>
      <c r="T192">
        <f ca="1"/>
        <v>0.3945090137059114</v>
      </c>
      <c r="U192">
        <f ca="1"/>
        <v>9.2729668038114832E-3</v>
      </c>
    </row>
    <row r="193" spans="1:23" x14ac:dyDescent="0.4">
      <c r="A193" s="26"/>
      <c r="B193" s="26">
        <v>0.52152777777777781</v>
      </c>
      <c r="C193" s="55">
        <f t="shared" si="62"/>
        <v>751</v>
      </c>
      <c r="D193">
        <v>5</v>
      </c>
      <c r="E193" s="56" cm="1">
        <f t="array" aca="1" ref="E193" ca="1">C193-INDIRECT("C" &amp; (ROW(D193) - D193))</f>
        <v>61</v>
      </c>
      <c r="G193">
        <v>2</v>
      </c>
      <c r="H193">
        <v>72317</v>
      </c>
      <c r="I193" s="28">
        <f t="shared" si="63"/>
        <v>0.14277365922035873</v>
      </c>
      <c r="J193" s="28">
        <f t="shared" si="64"/>
        <v>0.13912269903509306</v>
      </c>
      <c r="L193" s="28">
        <f t="shared" si="65"/>
        <v>-1.9723990083545129</v>
      </c>
      <c r="M193" s="57"/>
      <c r="N193" s="28" cm="1">
        <f t="array" aca="1" ref="N193" ca="1">L193-INDIRECT("L" &amp; (ROW(L193)-D193))</f>
        <v>-1.0952484972838992</v>
      </c>
    </row>
    <row r="194" spans="1:23" x14ac:dyDescent="0.4">
      <c r="A194" s="26"/>
      <c r="B194" s="26">
        <v>0.53263888888888888</v>
      </c>
      <c r="C194" s="55">
        <f t="shared" si="62"/>
        <v>767</v>
      </c>
      <c r="D194">
        <v>6</v>
      </c>
      <c r="E194" s="56" cm="1">
        <f t="array" aca="1" ref="E194" ca="1">C194-INDIRECT("C" &amp; (ROW(D194) - D194))</f>
        <v>77</v>
      </c>
      <c r="G194">
        <v>2</v>
      </c>
      <c r="H194">
        <v>51473</v>
      </c>
      <c r="I194" s="28">
        <f t="shared" si="63"/>
        <v>0.10162186707205118</v>
      </c>
      <c r="J194" s="28">
        <f t="shared" si="64"/>
        <v>9.7625093507387947E-2</v>
      </c>
      <c r="L194" s="28">
        <f t="shared" si="65"/>
        <v>-2.3266207130005903</v>
      </c>
      <c r="M194" s="57"/>
      <c r="N194" s="28" cm="1">
        <f t="array" aca="1" ref="N194" ca="1">L194-INDIRECT("L" &amp; (ROW(L194)-D194))</f>
        <v>-1.4494702019299766</v>
      </c>
    </row>
    <row r="195" spans="1:23" x14ac:dyDescent="0.4">
      <c r="A195" s="26"/>
      <c r="B195" s="26">
        <v>0.54374999999999996</v>
      </c>
      <c r="C195" s="55">
        <f t="shared" si="62"/>
        <v>783</v>
      </c>
      <c r="D195">
        <v>7</v>
      </c>
      <c r="E195" s="56" cm="1">
        <f t="array" aca="1" ref="E195" ca="1">C195-INDIRECT("C" &amp; (ROW(D195) - D195))</f>
        <v>93</v>
      </c>
      <c r="G195">
        <v>2</v>
      </c>
      <c r="H195">
        <v>43508</v>
      </c>
      <c r="I195" s="28">
        <f t="shared" si="63"/>
        <v>8.589676515009427E-2</v>
      </c>
      <c r="J195" s="28">
        <f t="shared" si="64"/>
        <v>8.176784787180115E-2</v>
      </c>
      <c r="L195" s="28">
        <f t="shared" si="65"/>
        <v>-2.5038711704428431</v>
      </c>
      <c r="N195" s="28" cm="1">
        <f t="array" aca="1" ref="N195" ca="1">L195-INDIRECT("L" &amp; (ROW(L195)-D195))</f>
        <v>-1.6267206593722294</v>
      </c>
    </row>
    <row r="196" spans="1:23" x14ac:dyDescent="0.4">
      <c r="A196" s="26"/>
      <c r="B196" s="26"/>
      <c r="C196" s="55"/>
      <c r="E196" s="56"/>
      <c r="L196" s="28"/>
      <c r="N196" s="28"/>
    </row>
    <row r="197" spans="1:23" x14ac:dyDescent="0.4">
      <c r="A197" s="26"/>
      <c r="B197" s="26"/>
      <c r="C197" s="55"/>
      <c r="E197" s="56"/>
      <c r="L197" s="28"/>
      <c r="N197" s="28"/>
    </row>
    <row r="198" spans="1:23" x14ac:dyDescent="0.4">
      <c r="A198" s="26"/>
      <c r="B198" s="26"/>
      <c r="C198" s="55"/>
      <c r="E198" s="56"/>
      <c r="L198" s="28"/>
      <c r="N198" s="28"/>
    </row>
    <row r="200" spans="1:23" s="20" customFormat="1" x14ac:dyDescent="0.4">
      <c r="A200" s="19" t="s">
        <v>156</v>
      </c>
      <c r="I200" s="30"/>
      <c r="J200" s="30"/>
    </row>
    <row r="201" spans="1:23" x14ac:dyDescent="0.4">
      <c r="A201" s="26"/>
      <c r="B201" s="26">
        <v>0.48125000000000001</v>
      </c>
      <c r="C201" s="55">
        <f t="shared" ref="C201:C212" si="66">HOUR(B201)*60+MINUTE(B201)</f>
        <v>693</v>
      </c>
      <c r="D201">
        <v>0</v>
      </c>
      <c r="E201" s="56" cm="1">
        <f t="array" aca="1" ref="E201" ca="1">C201-INDIRECT("C" &amp; (ROW(D201) - D201))</f>
        <v>0</v>
      </c>
      <c r="G201">
        <v>0</v>
      </c>
      <c r="H201">
        <v>218772</v>
      </c>
      <c r="I201" s="28">
        <f t="shared" ref="I201:I210" si="67">H201/506515</f>
        <v>0.43191613278974955</v>
      </c>
      <c r="J201" s="28">
        <f t="shared" ref="J201:J212" si="68">(I201*240-$C$325*2)/238</f>
        <v>0.43069494128994096</v>
      </c>
      <c r="L201" s="28">
        <f>LN(J201)</f>
        <v>-0.84235523231275566</v>
      </c>
      <c r="M201" s="57">
        <f ca="1">SLOPE(L201:L210, E201:E210)</f>
        <v>-4.3192943361671536E-3</v>
      </c>
      <c r="N201" s="28" cm="1">
        <f t="array" aca="1" ref="N201" ca="1">L201-INDIRECT("L" &amp; (ROW(L201)-D201))</f>
        <v>0</v>
      </c>
      <c r="O201" s="57" cm="1">
        <f t="array" aca="1" ref="O201:P205" ca="1">LINEST(_xlfn._xlws.FILTER(N201:N211,NOT(ISBLANK(N201:N211))),_xlfn._xlws.FILTER(E201:E211,NOT(ISBLANK(E201:E211))), FALSE, TRUE)</f>
        <v>-4.0894438042251378E-3</v>
      </c>
      <c r="P201" s="57">
        <f ca="1"/>
        <v>0</v>
      </c>
      <c r="Q201" s="57" cm="1">
        <f t="array" aca="1" ref="Q201:R205" ca="1">LINEST(_xlfn._xlws.FILTER(N201:N211, NOT(ISBLANK(N201:N211))),_xlfn._xlws.FILTER(E201:E211, NOT(ISBLANK(E201:E211))), TRUE, TRUE)</f>
        <v>-4.1123570949463404E-3</v>
      </c>
      <c r="R201" s="57">
        <f ca="1"/>
        <v>4.0443445998943894E-3</v>
      </c>
      <c r="S201">
        <f ca="1">ABS(O201)</f>
        <v>4.0894438042251378E-3</v>
      </c>
      <c r="T201" cm="1">
        <f t="array" aca="1" ref="T201:U205" ca="1">LINEST(_xlfn._xlws.FILTER(N201:N205, NOT(ISBLANK(N201:N205))),_xlfn._xlws.FILTER(E201:E205, NOT(ISBLANK(E201:E205))), TRUE, TRUE)</f>
        <v>4.7363044925009974E-4</v>
      </c>
      <c r="U201">
        <f ca="1"/>
        <v>-5.6140057688370569E-2</v>
      </c>
      <c r="V201">
        <f ca="1">S201/(2*'characterization &amp; setup'!$B$187/100)</f>
        <v>2.8081141511783793E-2</v>
      </c>
      <c r="W201">
        <f ca="1">ABS(T201)/(2*'characterization &amp; setup'!$B$187/100)</f>
        <v>3.252296475119766E-3</v>
      </c>
    </row>
    <row r="202" spans="1:23" x14ac:dyDescent="0.4">
      <c r="A202" s="26"/>
      <c r="B202" s="26">
        <v>0.48749999999999999</v>
      </c>
      <c r="C202" s="55">
        <f t="shared" si="66"/>
        <v>702</v>
      </c>
      <c r="D202">
        <v>1</v>
      </c>
      <c r="E202" s="56" cm="1">
        <f t="array" aca="1" ref="E202" ca="1">C202-INDIRECT("C" &amp; (ROW(D202) - D202))</f>
        <v>9</v>
      </c>
      <c r="G202">
        <v>2</v>
      </c>
      <c r="H202">
        <v>202248</v>
      </c>
      <c r="I202" s="28">
        <f t="shared" si="67"/>
        <v>0.39929320948046948</v>
      </c>
      <c r="J202" s="28">
        <f t="shared" si="68"/>
        <v>0.39779787576797782</v>
      </c>
      <c r="L202" s="28">
        <f t="shared" ref="L202:L209" si="69">LN(J202)</f>
        <v>-0.92181125252630203</v>
      </c>
      <c r="M202" s="57"/>
      <c r="N202" s="28" cm="1">
        <f t="array" aca="1" ref="N202" ca="1">L202-INDIRECT("L" &amp; (ROW(L202)-D202))</f>
        <v>-7.9456020213546363E-2</v>
      </c>
      <c r="O202" s="57">
        <f ca="1"/>
        <v>3.0157424304142003E-4</v>
      </c>
      <c r="P202" s="57" t="e">
        <f ca="1"/>
        <v>#N/A</v>
      </c>
      <c r="Q202" s="57">
        <f ca="1"/>
        <v>4.7654081374404032E-4</v>
      </c>
      <c r="R202">
        <f ca="1"/>
        <v>6.2674876027328519E-2</v>
      </c>
      <c r="T202">
        <f ca="1"/>
        <v>1.0995790328034547E-3</v>
      </c>
      <c r="U202">
        <f ca="1"/>
        <v>3.0197411280491179E-2</v>
      </c>
    </row>
    <row r="203" spans="1:23" x14ac:dyDescent="0.4">
      <c r="A203" s="26"/>
      <c r="B203" s="26">
        <v>0.49236111111111114</v>
      </c>
      <c r="C203" s="55">
        <f t="shared" si="66"/>
        <v>709</v>
      </c>
      <c r="D203">
        <v>2</v>
      </c>
      <c r="E203" s="56" cm="1">
        <f t="array" aca="1" ref="E203" ca="1">C203-INDIRECT("C" &amp; (ROW(D203) - D203))</f>
        <v>16</v>
      </c>
      <c r="G203">
        <v>2</v>
      </c>
      <c r="H203">
        <v>201043</v>
      </c>
      <c r="I203" s="28">
        <f t="shared" si="67"/>
        <v>0.39691420787143522</v>
      </c>
      <c r="J203" s="28">
        <f t="shared" si="68"/>
        <v>0.39539888254878358</v>
      </c>
      <c r="L203" s="28">
        <f t="shared" si="69"/>
        <v>-0.92786019437813305</v>
      </c>
      <c r="M203" s="57"/>
      <c r="N203" s="28" cm="1">
        <f t="array" aca="1" ref="N203" ca="1">L203-INDIRECT("L" &amp; (ROW(L203)-D203))</f>
        <v>-8.5504962065377388E-2</v>
      </c>
      <c r="O203" s="57">
        <f ca="1"/>
        <v>0.94842232380721203</v>
      </c>
      <c r="P203" s="57">
        <f ca="1"/>
        <v>0.13154791544199826</v>
      </c>
      <c r="Q203" s="57">
        <f ca="1"/>
        <v>0.89217684790020668</v>
      </c>
      <c r="R203">
        <f ca="1"/>
        <v>0.13863161177911446</v>
      </c>
      <c r="T203">
        <f ca="1"/>
        <v>5.8243024709563433E-2</v>
      </c>
      <c r="U203">
        <f ca="1"/>
        <v>4.4654282238539157E-2</v>
      </c>
    </row>
    <row r="204" spans="1:23" x14ac:dyDescent="0.4">
      <c r="A204" s="26"/>
      <c r="B204" s="26">
        <v>0.49861111111111112</v>
      </c>
      <c r="C204" s="55">
        <f t="shared" si="66"/>
        <v>718</v>
      </c>
      <c r="D204">
        <v>3</v>
      </c>
      <c r="E204" s="56" cm="1">
        <f t="array" aca="1" ref="E204" ca="1">C204-INDIRECT("C" &amp; (ROW(D204) - D204))</f>
        <v>25</v>
      </c>
      <c r="F204" t="s">
        <v>84</v>
      </c>
      <c r="G204">
        <v>2</v>
      </c>
      <c r="H204">
        <v>206498</v>
      </c>
      <c r="I204" s="28">
        <f t="shared" si="67"/>
        <v>0.40768387905590159</v>
      </c>
      <c r="J204" s="28">
        <f t="shared" si="68"/>
        <v>0.40625905517177491</v>
      </c>
      <c r="L204" s="28">
        <f t="shared" si="69"/>
        <v>-0.90076425593300069</v>
      </c>
      <c r="M204" s="57"/>
      <c r="N204" s="28" cm="1">
        <f t="array" aca="1" ref="N204" ca="1">L204-INDIRECT("L" &amp; (ROW(L204)-D204))</f>
        <v>-5.8409023620245026E-2</v>
      </c>
      <c r="O204" s="57">
        <f ca="1"/>
        <v>183.88232929730751</v>
      </c>
      <c r="P204" s="57">
        <f ca="1"/>
        <v>10</v>
      </c>
      <c r="Q204" s="57">
        <f ca="1"/>
        <v>74.470013858157728</v>
      </c>
      <c r="R204">
        <f ca="1"/>
        <v>9</v>
      </c>
      <c r="T204">
        <f ca="1"/>
        <v>0.18553520569869322</v>
      </c>
      <c r="U204">
        <f ca="1"/>
        <v>3</v>
      </c>
    </row>
    <row r="205" spans="1:23" x14ac:dyDescent="0.4">
      <c r="A205" s="26"/>
      <c r="B205" s="26">
        <v>0.5180555555555556</v>
      </c>
      <c r="C205" s="55">
        <f t="shared" si="66"/>
        <v>746</v>
      </c>
      <c r="D205">
        <v>4</v>
      </c>
      <c r="E205" s="56" cm="1">
        <f t="array" aca="1" ref="E205" ca="1">C205-INDIRECT("C" &amp; (ROW(D205) - D205))</f>
        <v>53</v>
      </c>
      <c r="F205" t="s">
        <v>84</v>
      </c>
      <c r="G205">
        <v>2</v>
      </c>
      <c r="H205">
        <v>216931</v>
      </c>
      <c r="I205" s="28">
        <f t="shared" si="67"/>
        <v>0.4282814921571918</v>
      </c>
      <c r="J205" s="28">
        <f t="shared" si="68"/>
        <v>0.42702975745879024</v>
      </c>
      <c r="L205" s="28">
        <f t="shared" si="69"/>
        <v>-0.85090157858267945</v>
      </c>
      <c r="M205" s="57"/>
      <c r="N205" s="28" cm="1">
        <f t="array" aca="1" ref="N205" ca="1">L205-INDIRECT("L" &amp; (ROW(L205)-D205))</f>
        <v>-8.546346269923788E-3</v>
      </c>
      <c r="O205" s="57">
        <f ca="1"/>
        <v>3.1820568721759686</v>
      </c>
      <c r="P205" s="57">
        <f ca="1"/>
        <v>0.17304854057135124</v>
      </c>
      <c r="Q205" s="57">
        <f ca="1"/>
        <v>1.4312186265659668</v>
      </c>
      <c r="R205">
        <f ca="1"/>
        <v>0.17296851406027597</v>
      </c>
      <c r="T205">
        <f ca="1"/>
        <v>3.6995811341184077E-4</v>
      </c>
      <c r="U205">
        <f ca="1"/>
        <v>5.9820147667173414E-3</v>
      </c>
    </row>
    <row r="206" spans="1:23" x14ac:dyDescent="0.4">
      <c r="A206" s="26"/>
      <c r="B206" s="26">
        <v>0.53263888888888888</v>
      </c>
      <c r="C206" s="55">
        <f t="shared" si="66"/>
        <v>767</v>
      </c>
      <c r="D206">
        <v>5</v>
      </c>
      <c r="E206" s="56" cm="1">
        <f t="array" aca="1" ref="E206" ca="1">C206-INDIRECT("C" &amp; (ROW(D206) - D206))</f>
        <v>74</v>
      </c>
      <c r="G206">
        <v>2</v>
      </c>
      <c r="H206">
        <v>183913</v>
      </c>
      <c r="I206" s="28">
        <f t="shared" si="67"/>
        <v>0.36309487379445821</v>
      </c>
      <c r="J206" s="28">
        <f t="shared" si="68"/>
        <v>0.36129535238712612</v>
      </c>
      <c r="L206" s="28">
        <f t="shared" si="69"/>
        <v>-1.018059504495209</v>
      </c>
      <c r="M206" s="57"/>
      <c r="N206" s="28" cm="1">
        <f t="array" aca="1" ref="N206" ca="1">L206-INDIRECT("L" &amp; (ROW(L206)-D206))</f>
        <v>-0.17570427218245332</v>
      </c>
    </row>
    <row r="207" spans="1:23" x14ac:dyDescent="0.4">
      <c r="A207" s="26"/>
      <c r="B207" s="26">
        <v>0.5493055555555556</v>
      </c>
      <c r="C207" s="55">
        <f t="shared" si="66"/>
        <v>791</v>
      </c>
      <c r="D207">
        <v>6</v>
      </c>
      <c r="E207" s="56" cm="1">
        <f t="array" aca="1" ref="E207" ca="1">C207-INDIRECT("C" &amp; (ROW(D207) - D207))</f>
        <v>98</v>
      </c>
      <c r="G207">
        <v>2</v>
      </c>
      <c r="H207">
        <v>116841</v>
      </c>
      <c r="I207" s="28">
        <f t="shared" si="67"/>
        <v>0.23067628796777984</v>
      </c>
      <c r="J207" s="28">
        <f t="shared" si="68"/>
        <v>0.22776400533501351</v>
      </c>
      <c r="L207" s="28">
        <f t="shared" si="69"/>
        <v>-1.4794452503968145</v>
      </c>
      <c r="M207" s="57"/>
      <c r="N207" s="28" cm="1">
        <f t="array" aca="1" ref="N207" ca="1">L207-INDIRECT("L" &amp; (ROW(L207)-D207))</f>
        <v>-0.63709001808405885</v>
      </c>
    </row>
    <row r="208" spans="1:23" x14ac:dyDescent="0.4">
      <c r="A208" s="26"/>
      <c r="B208" s="26">
        <v>0.57638888888888884</v>
      </c>
      <c r="C208" s="55">
        <f t="shared" si="66"/>
        <v>830</v>
      </c>
      <c r="D208">
        <v>7</v>
      </c>
      <c r="E208" s="56" cm="1">
        <f t="array" aca="1" ref="E208" ca="1">C208-INDIRECT("C" &amp; (ROW(D208) - D208))</f>
        <v>137</v>
      </c>
      <c r="G208">
        <v>2</v>
      </c>
      <c r="H208">
        <v>120413</v>
      </c>
      <c r="I208" s="28">
        <f t="shared" si="67"/>
        <v>0.23772839896153125</v>
      </c>
      <c r="J208" s="28">
        <f t="shared" si="68"/>
        <v>0.2348753777656872</v>
      </c>
      <c r="L208" s="28">
        <f t="shared" si="69"/>
        <v>-1.4487002128807231</v>
      </c>
      <c r="N208" s="28" cm="1">
        <f t="array" aca="1" ref="N208" ca="1">L208-INDIRECT("L" &amp; (ROW(L208)-D208))</f>
        <v>-0.60634498056796748</v>
      </c>
    </row>
    <row r="209" spans="1:23" x14ac:dyDescent="0.4">
      <c r="A209" s="26"/>
      <c r="B209" s="26">
        <v>0.60138888888888886</v>
      </c>
      <c r="C209" s="55">
        <f t="shared" si="66"/>
        <v>866</v>
      </c>
      <c r="D209">
        <v>8</v>
      </c>
      <c r="E209" s="56" cm="1">
        <f t="array" aca="1" ref="E209" ca="1">C209-INDIRECT("C" &amp; (ROW(D209) - D209))</f>
        <v>173</v>
      </c>
      <c r="G209">
        <v>2</v>
      </c>
      <c r="H209">
        <v>90960</v>
      </c>
      <c r="I209" s="28">
        <f t="shared" si="67"/>
        <v>0.17958007166618956</v>
      </c>
      <c r="J209" s="28">
        <f t="shared" si="68"/>
        <v>0.1762384090645023</v>
      </c>
      <c r="L209" s="28">
        <f t="shared" si="69"/>
        <v>-1.7359176036253536</v>
      </c>
      <c r="N209" s="28" cm="1">
        <f t="array" aca="1" ref="N209" ca="1">L209-INDIRECT("L" &amp; (ROW(L209)-D209))</f>
        <v>-0.89356237131259797</v>
      </c>
    </row>
    <row r="210" spans="1:23" x14ac:dyDescent="0.4">
      <c r="A210" s="26"/>
      <c r="B210" s="26">
        <v>0.63541666666666663</v>
      </c>
      <c r="C210" s="55">
        <f t="shared" si="66"/>
        <v>915</v>
      </c>
      <c r="D210">
        <v>9</v>
      </c>
      <c r="E210" s="56" cm="1">
        <f t="array" aca="1" ref="E210" ca="1">C210-INDIRECT("C" &amp; (ROW(D210) - D210))</f>
        <v>222</v>
      </c>
      <c r="G210">
        <v>2</v>
      </c>
      <c r="H210">
        <v>100635</v>
      </c>
      <c r="I210" s="28">
        <f t="shared" si="67"/>
        <v>0.19868118417026148</v>
      </c>
      <c r="J210" s="28">
        <f t="shared" si="68"/>
        <v>0.19550003511902861</v>
      </c>
      <c r="L210" s="28">
        <f t="shared" ref="L210" si="70">LN(J210)</f>
        <v>-1.6321947199197577</v>
      </c>
      <c r="N210" s="28" cm="1">
        <f t="array" aca="1" ref="N210" ca="1">L210-INDIRECT("L" &amp; (ROW(L210)-D210))</f>
        <v>-0.78983948760700207</v>
      </c>
    </row>
    <row r="211" spans="1:23" x14ac:dyDescent="0.4">
      <c r="A211" s="26"/>
      <c r="B211" s="26">
        <v>0.6694444444444444</v>
      </c>
      <c r="C211" s="55">
        <f t="shared" si="66"/>
        <v>964</v>
      </c>
      <c r="D211">
        <v>10</v>
      </c>
      <c r="E211" s="56" cm="1">
        <f t="array" aca="1" ref="E211" ca="1">C211-INDIRECT("C" &amp; (ROW(D211) - D211))</f>
        <v>271</v>
      </c>
      <c r="G211">
        <v>2</v>
      </c>
      <c r="H211">
        <v>77825</v>
      </c>
      <c r="I211" s="28">
        <f t="shared" ref="I211:I212" si="71">H211/506515</f>
        <v>0.15364796699011876</v>
      </c>
      <c r="J211" s="28">
        <f t="shared" si="68"/>
        <v>0.15008838754241408</v>
      </c>
      <c r="L211" s="28">
        <f t="shared" ref="L211:L212" si="72">LN(J211)</f>
        <v>-1.8965309081428998</v>
      </c>
      <c r="N211" s="28" cm="1">
        <f t="array" aca="1" ref="N211" ca="1">L211-INDIRECT("L" &amp; (ROW(L211)-D211))</f>
        <v>-1.0541756758301442</v>
      </c>
    </row>
    <row r="212" spans="1:23" x14ac:dyDescent="0.4">
      <c r="A212" s="26"/>
      <c r="B212" s="26">
        <v>0.70486111111111116</v>
      </c>
      <c r="C212" s="55">
        <f t="shared" si="66"/>
        <v>1015</v>
      </c>
      <c r="D212">
        <v>11</v>
      </c>
      <c r="E212" s="56" cm="1">
        <f t="array" aca="1" ref="E212" ca="1">C212-INDIRECT("C" &amp; (ROW(D212) - D212))</f>
        <v>322</v>
      </c>
      <c r="G212">
        <v>2</v>
      </c>
      <c r="H212">
        <v>37673</v>
      </c>
      <c r="I212" s="28">
        <f t="shared" si="71"/>
        <v>7.4376869391824529E-2</v>
      </c>
      <c r="J212" s="28">
        <f t="shared" si="68"/>
        <v>7.0151146266823269E-2</v>
      </c>
      <c r="L212" s="28">
        <f t="shared" si="72"/>
        <v>-2.6571031323416037</v>
      </c>
      <c r="N212" s="28" cm="1">
        <f t="array" aca="1" ref="N212" ca="1">L212-INDIRECT("L" &amp; (ROW(L212)-D212))</f>
        <v>-1.814747900028848</v>
      </c>
    </row>
    <row r="213" spans="1:23" s="20" customFormat="1" x14ac:dyDescent="0.4">
      <c r="A213" s="19" t="s">
        <v>157</v>
      </c>
      <c r="I213" s="30"/>
      <c r="J213" s="30"/>
    </row>
    <row r="214" spans="1:23" x14ac:dyDescent="0.4">
      <c r="A214" s="26"/>
      <c r="B214" s="26">
        <v>0.48402777777777778</v>
      </c>
      <c r="C214" s="55">
        <f t="shared" ref="C214:C225" si="73">HOUR(B214)*60+MINUTE(B214)</f>
        <v>697</v>
      </c>
      <c r="D214">
        <v>0</v>
      </c>
      <c r="E214" s="56" cm="1">
        <f t="array" aca="1" ref="E214" ca="1">C214-INDIRECT("C" &amp; (ROW(D214) - D214))</f>
        <v>0</v>
      </c>
      <c r="G214">
        <v>0</v>
      </c>
      <c r="H214">
        <v>230119</v>
      </c>
      <c r="I214" s="28">
        <f t="shared" ref="I214:I221" si="74">H214/506515</f>
        <v>0.45431823341855621</v>
      </c>
      <c r="J214" s="28">
        <f t="shared" ref="J214:J225" si="75">(I214*240-$C$325*2)/238</f>
        <v>0.45328529486520813</v>
      </c>
      <c r="L214" s="28">
        <f>LN(J214)</f>
        <v>-0.79123356174417014</v>
      </c>
      <c r="M214" s="57">
        <f ca="1">SLOPE(L214:L226, E214:E226)</f>
        <v>-2.2625975237098605E-3</v>
      </c>
      <c r="N214" s="28" cm="1">
        <f t="array" aca="1" ref="N214" ca="1">L214-INDIRECT("L" &amp; (ROW(L214)-D214))</f>
        <v>0</v>
      </c>
      <c r="O214" s="57" cm="1">
        <f t="array" aca="1" ref="O214:P218" ca="1">LINEST(_xlfn._xlws.FILTER(N214:N224,NOT(ISBLANK(N214:N224))),_xlfn._xlws.FILTER(E214:E224,NOT(ISBLANK(E214:E224))), FALSE, TRUE)</f>
        <v>-3.1804469069468583E-3</v>
      </c>
      <c r="P214" s="57">
        <f ca="1"/>
        <v>0</v>
      </c>
      <c r="Q214" s="57" cm="1">
        <f t="array" aca="1" ref="Q214:R218" ca="1">LINEST(_xlfn._xlws.FILTER(N214:N224, NOT(ISBLANK(N214:N224))),_xlfn._xlws.FILTER(E214:E224, NOT(ISBLANK(E214:E224))), TRUE, TRUE)</f>
        <v>-2.5545444093026306E-3</v>
      </c>
      <c r="R214" s="57">
        <f ca="1"/>
        <v>-0.12199387914850357</v>
      </c>
      <c r="S214">
        <f ca="1">ABS(O214)</f>
        <v>3.1804469069468583E-3</v>
      </c>
      <c r="T214" cm="1">
        <f t="array" aca="1" ref="T214:U218" ca="1">LINEST(_xlfn._xlws.FILTER(N214:N218, NOT(ISBLANK(N214:N218))),_xlfn._xlws.FILTER(E214:E218, NOT(ISBLANK(E214:E218))), TRUE, TRUE)</f>
        <v>-3.1858785630478029E-3</v>
      </c>
      <c r="U214">
        <f ca="1"/>
        <v>-5.8123143921120599E-2</v>
      </c>
      <c r="V214">
        <f ca="1">S214/(2*'characterization &amp; setup'!$B$187/100)</f>
        <v>2.1839297454684607E-2</v>
      </c>
      <c r="W214">
        <f ca="1">ABS(T214)/(2*'characterization &amp; setup'!$B$187/100)</f>
        <v>2.1876595217147164E-2</v>
      </c>
    </row>
    <row r="215" spans="1:23" x14ac:dyDescent="0.4">
      <c r="A215" s="26"/>
      <c r="B215" s="26">
        <v>0.48819444444444443</v>
      </c>
      <c r="C215" s="55">
        <f t="shared" si="73"/>
        <v>703</v>
      </c>
      <c r="D215">
        <v>1</v>
      </c>
      <c r="E215" s="56" cm="1">
        <f t="array" aca="1" ref="E215" ca="1">C215-INDIRECT("C" &amp; (ROW(D215) - D215))</f>
        <v>6</v>
      </c>
      <c r="G215">
        <v>2</v>
      </c>
      <c r="H215">
        <v>206629</v>
      </c>
      <c r="I215" s="28">
        <f t="shared" si="74"/>
        <v>0.40794250910634433</v>
      </c>
      <c r="J215" s="28">
        <f t="shared" si="75"/>
        <v>0.40651985858398609</v>
      </c>
      <c r="L215" s="28">
        <f t="shared" ref="L215:L221" si="76">LN(J215)</f>
        <v>-0.90012249858238957</v>
      </c>
      <c r="M215" s="57"/>
      <c r="N215" s="28" cm="1">
        <f t="array" aca="1" ref="N215" ca="1">L215-INDIRECT("L" &amp; (ROW(L215)-D215))</f>
        <v>-0.10888893683821943</v>
      </c>
      <c r="O215" s="57">
        <f ca="1"/>
        <v>3.2890995773068946E-4</v>
      </c>
      <c r="P215" s="57" t="e">
        <f ca="1"/>
        <v>#N/A</v>
      </c>
      <c r="Q215" s="57">
        <f ca="1"/>
        <v>4.0094867804356832E-4</v>
      </c>
      <c r="R215">
        <f ca="1"/>
        <v>5.5874467692240852E-2</v>
      </c>
      <c r="T215">
        <f ca="1"/>
        <v>1.3552971674363522E-3</v>
      </c>
      <c r="U215">
        <f ca="1"/>
        <v>3.331936825706136E-2</v>
      </c>
    </row>
    <row r="216" spans="1:23" x14ac:dyDescent="0.4">
      <c r="A216" s="26"/>
      <c r="B216" s="26">
        <v>0.49236111111111114</v>
      </c>
      <c r="C216" s="55">
        <f t="shared" si="73"/>
        <v>709</v>
      </c>
      <c r="D216">
        <v>2</v>
      </c>
      <c r="E216" s="56" cm="1">
        <f t="array" aca="1" ref="E216" ca="1">C216-INDIRECT("C" &amp; (ROW(D216) - D216))</f>
        <v>12</v>
      </c>
      <c r="G216">
        <v>2</v>
      </c>
      <c r="H216">
        <v>197835</v>
      </c>
      <c r="I216" s="28">
        <f t="shared" si="74"/>
        <v>0.39058073304837959</v>
      </c>
      <c r="J216" s="28">
        <f t="shared" si="75"/>
        <v>0.38901218524822334</v>
      </c>
      <c r="L216" s="28">
        <f t="shared" si="76"/>
        <v>-0.94414461130873284</v>
      </c>
      <c r="M216" s="57"/>
      <c r="N216" s="28" cm="1">
        <f t="array" aca="1" ref="N216" ca="1">L216-INDIRECT("L" &amp; (ROW(L216)-D216))</f>
        <v>-0.1529110495645627</v>
      </c>
      <c r="O216" s="57">
        <f ca="1"/>
        <v>0.90338378196583513</v>
      </c>
      <c r="P216" s="57">
        <f ca="1"/>
        <v>0.15201903707789552</v>
      </c>
      <c r="Q216" s="57">
        <f ca="1"/>
        <v>0.81852215750794932</v>
      </c>
      <c r="R216">
        <f ca="1"/>
        <v>0.12956198869077465</v>
      </c>
      <c r="T216">
        <f ca="1"/>
        <v>0.64812382254458956</v>
      </c>
      <c r="U216">
        <f ca="1"/>
        <v>5.2019405639129178E-2</v>
      </c>
    </row>
    <row r="217" spans="1:23" x14ac:dyDescent="0.4">
      <c r="A217" s="26"/>
      <c r="B217" s="26">
        <v>0.49861111111111112</v>
      </c>
      <c r="C217" s="55">
        <f t="shared" si="73"/>
        <v>718</v>
      </c>
      <c r="D217">
        <v>3</v>
      </c>
      <c r="E217" s="56" cm="1">
        <f t="array" aca="1" ref="E217" ca="1">C217-INDIRECT("C" &amp; (ROW(D217) - D217))</f>
        <v>21</v>
      </c>
      <c r="F217" t="s">
        <v>84</v>
      </c>
      <c r="G217">
        <v>2</v>
      </c>
      <c r="H217">
        <v>207753</v>
      </c>
      <c r="I217" s="28">
        <f t="shared" si="74"/>
        <v>0.41016159442464684</v>
      </c>
      <c r="J217" s="28">
        <f t="shared" si="75"/>
        <v>0.40875759167807263</v>
      </c>
      <c r="L217" s="28">
        <f t="shared" si="76"/>
        <v>-0.89463298403043245</v>
      </c>
      <c r="M217" s="57"/>
      <c r="N217" s="28" cm="1">
        <f t="array" aca="1" ref="N217" ca="1">L217-INDIRECT("L" &amp; (ROW(L217)-D217))</f>
        <v>-0.10339942228626231</v>
      </c>
      <c r="O217" s="57">
        <f ca="1"/>
        <v>93.502291887101805</v>
      </c>
      <c r="P217" s="57">
        <f ca="1"/>
        <v>10</v>
      </c>
      <c r="Q217" s="57">
        <f ca="1"/>
        <v>40.592831149038076</v>
      </c>
      <c r="R217">
        <f ca="1"/>
        <v>9</v>
      </c>
      <c r="T217">
        <f ca="1"/>
        <v>5.5257263554880991</v>
      </c>
      <c r="U217">
        <f ca="1"/>
        <v>3</v>
      </c>
    </row>
    <row r="218" spans="1:23" x14ac:dyDescent="0.4">
      <c r="A218" s="26"/>
      <c r="B218" s="26">
        <v>0.5180555555555556</v>
      </c>
      <c r="C218" s="55">
        <f t="shared" si="73"/>
        <v>746</v>
      </c>
      <c r="D218">
        <v>4</v>
      </c>
      <c r="E218" s="56" cm="1">
        <f t="array" aca="1" ref="E218" ca="1">C218-INDIRECT("C" &amp; (ROW(D218) - D218))</f>
        <v>49</v>
      </c>
      <c r="F218" t="s">
        <v>84</v>
      </c>
      <c r="G218">
        <v>2</v>
      </c>
      <c r="H218">
        <v>187774</v>
      </c>
      <c r="I218" s="28">
        <f t="shared" si="74"/>
        <v>0.37071755031933901</v>
      </c>
      <c r="J218" s="28">
        <f t="shared" si="75"/>
        <v>0.36898208501725799</v>
      </c>
      <c r="L218" s="28">
        <f t="shared" si="76"/>
        <v>-0.99700718620893536</v>
      </c>
      <c r="M218" s="57"/>
      <c r="N218" s="28" cm="1">
        <f t="array" aca="1" ref="N218" ca="1">L218-INDIRECT("L" &amp; (ROW(L218)-D218))</f>
        <v>-0.20577362446476521</v>
      </c>
      <c r="O218" s="57">
        <f ca="1"/>
        <v>2.1608181088116725</v>
      </c>
      <c r="P218" s="57">
        <f ca="1"/>
        <v>0.23109787634090573</v>
      </c>
      <c r="Q218" s="57">
        <f ca="1"/>
        <v>0.68140380334164019</v>
      </c>
      <c r="R218">
        <f ca="1"/>
        <v>0.15107678022157578</v>
      </c>
      <c r="T218">
        <f ca="1"/>
        <v>1.4952718092275831E-2</v>
      </c>
      <c r="U218">
        <f ca="1"/>
        <v>8.1180556891447941E-3</v>
      </c>
    </row>
    <row r="219" spans="1:23" x14ac:dyDescent="0.4">
      <c r="A219" s="26"/>
      <c r="B219" s="26">
        <v>0.53402777777777777</v>
      </c>
      <c r="C219" s="55">
        <f t="shared" si="73"/>
        <v>769</v>
      </c>
      <c r="D219">
        <v>5</v>
      </c>
      <c r="E219" s="56" cm="1">
        <f t="array" aca="1" ref="E219" ca="1">C219-INDIRECT("C" &amp; (ROW(D219) - D219))</f>
        <v>72</v>
      </c>
      <c r="G219">
        <v>2</v>
      </c>
      <c r="H219">
        <v>174190</v>
      </c>
      <c r="I219" s="28">
        <f t="shared" si="74"/>
        <v>0.34389899608106372</v>
      </c>
      <c r="J219" s="28">
        <f t="shared" si="75"/>
        <v>0.34193816477698041</v>
      </c>
      <c r="L219" s="28">
        <f t="shared" si="76"/>
        <v>-1.0731253630123516</v>
      </c>
      <c r="M219" s="57"/>
      <c r="N219" s="28" cm="1">
        <f t="array" aca="1" ref="N219" ca="1">L219-INDIRECT("L" &amp; (ROW(L219)-D219))</f>
        <v>-0.28189180126818147</v>
      </c>
    </row>
    <row r="220" spans="1:23" x14ac:dyDescent="0.4">
      <c r="A220" s="26"/>
      <c r="B220" s="26">
        <v>0.5493055555555556</v>
      </c>
      <c r="C220" s="55">
        <f t="shared" si="73"/>
        <v>791</v>
      </c>
      <c r="D220">
        <v>6</v>
      </c>
      <c r="E220" s="56" cm="1">
        <f t="array" aca="1" ref="E220" ca="1">C220-INDIRECT("C" &amp; (ROW(D220) - D220))</f>
        <v>94</v>
      </c>
      <c r="G220">
        <v>2</v>
      </c>
      <c r="H220">
        <v>132539</v>
      </c>
      <c r="I220" s="28">
        <f t="shared" si="74"/>
        <v>0.26166845996663474</v>
      </c>
      <c r="J220" s="28">
        <f t="shared" si="75"/>
        <v>0.25901661575402685</v>
      </c>
      <c r="L220" s="28">
        <f t="shared" si="76"/>
        <v>-1.3508630658498952</v>
      </c>
      <c r="M220" s="57"/>
      <c r="N220" s="28" cm="1">
        <f t="array" aca="1" ref="N220" ca="1">L220-INDIRECT("L" &amp; (ROW(L220)-D220))</f>
        <v>-0.5596295041057251</v>
      </c>
    </row>
    <row r="221" spans="1:23" x14ac:dyDescent="0.4">
      <c r="A221" s="26"/>
      <c r="B221" s="26">
        <v>0.57708333333333328</v>
      </c>
      <c r="C221" s="55">
        <f t="shared" si="73"/>
        <v>831</v>
      </c>
      <c r="D221">
        <v>7</v>
      </c>
      <c r="E221" s="56" cm="1">
        <f t="array" aca="1" ref="E221" ca="1">C221-INDIRECT("C" &amp; (ROW(D221) - D221))</f>
        <v>134</v>
      </c>
      <c r="G221">
        <v>2</v>
      </c>
      <c r="H221">
        <v>131672</v>
      </c>
      <c r="I221" s="28">
        <f t="shared" si="74"/>
        <v>0.25995676337324658</v>
      </c>
      <c r="J221" s="28">
        <f t="shared" si="75"/>
        <v>0.2572905351556522</v>
      </c>
      <c r="L221" s="28">
        <f t="shared" si="76"/>
        <v>-1.3575493456191778</v>
      </c>
      <c r="N221" s="28" cm="1">
        <f t="array" aca="1" ref="N221" ca="1">L221-INDIRECT("L" &amp; (ROW(L221)-D221))</f>
        <v>-0.56631578387500769</v>
      </c>
    </row>
    <row r="222" spans="1:23" x14ac:dyDescent="0.4">
      <c r="A222" s="26"/>
      <c r="B222" s="26">
        <v>0.6020833333333333</v>
      </c>
      <c r="C222" s="55">
        <f t="shared" si="73"/>
        <v>867</v>
      </c>
      <c r="D222">
        <v>8</v>
      </c>
      <c r="E222" s="56" cm="1">
        <f t="array" aca="1" ref="E222" ca="1">C222-INDIRECT("C" &amp; (ROW(D222) - D222))</f>
        <v>170</v>
      </c>
      <c r="G222">
        <v>3</v>
      </c>
      <c r="H222">
        <v>127468</v>
      </c>
      <c r="I222" s="28">
        <f t="shared" ref="I222:I225" si="77">H222/506515</f>
        <v>0.25165691045674854</v>
      </c>
      <c r="J222" s="28">
        <f t="shared" si="75"/>
        <v>0.24892093557599032</v>
      </c>
      <c r="L222" s="28">
        <f t="shared" ref="L222:L225" si="78">LN(J222)</f>
        <v>-1.3906199607473255</v>
      </c>
      <c r="N222" s="28" cm="1">
        <f t="array" aca="1" ref="N222" ca="1">L222-INDIRECT("L" &amp; (ROW(L222)-D222))</f>
        <v>-0.59938639900315538</v>
      </c>
    </row>
    <row r="223" spans="1:23" x14ac:dyDescent="0.4">
      <c r="A223" s="26"/>
      <c r="B223" s="26">
        <v>0.63611111111111107</v>
      </c>
      <c r="C223" s="55">
        <f t="shared" si="73"/>
        <v>916</v>
      </c>
      <c r="D223">
        <v>9</v>
      </c>
      <c r="E223" s="56" cm="1">
        <f t="array" aca="1" ref="E223" ca="1">C223-INDIRECT("C" &amp; (ROW(D223) - D223))</f>
        <v>219</v>
      </c>
      <c r="G223">
        <v>4</v>
      </c>
      <c r="H223">
        <v>99965</v>
      </c>
      <c r="I223" s="28">
        <f t="shared" si="77"/>
        <v>0.19735841979013455</v>
      </c>
      <c r="J223" s="28">
        <f t="shared" si="75"/>
        <v>0.19416615507184179</v>
      </c>
      <c r="L223" s="28">
        <f t="shared" si="78"/>
        <v>-1.6390410170369947</v>
      </c>
      <c r="N223" s="28" cm="1">
        <f t="array" aca="1" ref="N223" ca="1">L223-INDIRECT("L" &amp; (ROW(L223)-D223))</f>
        <v>-0.84780745529282453</v>
      </c>
    </row>
    <row r="224" spans="1:23" x14ac:dyDescent="0.4">
      <c r="A224" s="26"/>
      <c r="B224" s="26">
        <v>0.7055555555555556</v>
      </c>
      <c r="C224" s="55">
        <f t="shared" si="73"/>
        <v>1016</v>
      </c>
      <c r="D224">
        <v>10</v>
      </c>
      <c r="E224" s="56" cm="1">
        <f t="array" aca="1" ref="E224" ca="1">C224-INDIRECT("C" &amp; (ROW(D224) - D224))</f>
        <v>319</v>
      </c>
      <c r="G224">
        <v>5</v>
      </c>
      <c r="H224">
        <v>113738</v>
      </c>
      <c r="I224" s="28">
        <f t="shared" si="77"/>
        <v>0.22455011204011727</v>
      </c>
      <c r="J224" s="28">
        <f t="shared" si="75"/>
        <v>0.22158634893737056</v>
      </c>
      <c r="L224" s="28">
        <f t="shared" si="78"/>
        <v>-1.5069429282746893</v>
      </c>
      <c r="N224" s="28" cm="1">
        <f t="array" aca="1" ref="N224" ca="1">L224-INDIRECT("L" &amp; (ROW(L224)-D224))</f>
        <v>-0.7157093665305192</v>
      </c>
    </row>
    <row r="225" spans="1:23" x14ac:dyDescent="0.4">
      <c r="A225" s="26"/>
      <c r="B225" s="26">
        <v>0.71250000000000002</v>
      </c>
      <c r="C225" s="55">
        <f t="shared" si="73"/>
        <v>1026</v>
      </c>
      <c r="D225">
        <v>11</v>
      </c>
      <c r="E225" s="56" cm="1">
        <f t="array" aca="1" ref="E225" ca="1">C225-INDIRECT("C" &amp; (ROW(D225) - D225))</f>
        <v>329</v>
      </c>
      <c r="G225">
        <v>6</v>
      </c>
      <c r="H225">
        <v>109934</v>
      </c>
      <c r="I225" s="28">
        <f t="shared" si="77"/>
        <v>0.21703996920130697</v>
      </c>
      <c r="J225" s="28">
        <f t="shared" si="75"/>
        <v>0.21401309565453666</v>
      </c>
      <c r="L225" s="28">
        <f t="shared" si="78"/>
        <v>-1.5417180711852341</v>
      </c>
      <c r="N225" s="28" cm="1">
        <f t="array" aca="1" ref="N225" ca="1">L225-INDIRECT("L" &amp; (ROW(L225)-D225))</f>
        <v>-0.75048450944106393</v>
      </c>
    </row>
    <row r="226" spans="1:23" s="20" customFormat="1" x14ac:dyDescent="0.4">
      <c r="A226" s="54" t="s">
        <v>158</v>
      </c>
      <c r="I226" s="30"/>
      <c r="J226" s="30"/>
    </row>
    <row r="227" spans="1:23" x14ac:dyDescent="0.4">
      <c r="A227" s="26"/>
      <c r="B227" s="26">
        <v>0.48541666666666666</v>
      </c>
      <c r="C227" s="55">
        <f t="shared" ref="C227:C238" si="79">HOUR(B227)*60+MINUTE(B227)</f>
        <v>699</v>
      </c>
      <c r="D227">
        <v>0</v>
      </c>
      <c r="E227" s="56" cm="1">
        <f t="array" aca="1" ref="E227" ca="1">C227-INDIRECT("C" &amp; (ROW(D227) - D227))</f>
        <v>0</v>
      </c>
      <c r="G227">
        <v>0</v>
      </c>
      <c r="H227">
        <v>240623</v>
      </c>
      <c r="I227" s="28">
        <f t="shared" ref="I227:I234" si="80">H227/506515</f>
        <v>0.47505602005863595</v>
      </c>
      <c r="J227" s="28">
        <f t="shared" ref="J227:J238" si="81">(I227*240-$C$325*2)/238</f>
        <v>0.47419734861991036</v>
      </c>
      <c r="L227" s="28">
        <f>LN(J227)</f>
        <v>-0.74613169663615875</v>
      </c>
      <c r="M227" s="57">
        <f ca="1">SLOPE(L227:L238, E227:E238)</f>
        <v>-3.7316574073931663E-3</v>
      </c>
      <c r="N227" s="28" cm="1">
        <f t="array" aca="1" ref="N227" ca="1">L227-INDIRECT("L" &amp; (ROW(L227)-D227))</f>
        <v>0</v>
      </c>
      <c r="O227" s="57" cm="1">
        <f t="array" aca="1" ref="O227:P231" ca="1">LINEST(_xlfn._xlws.FILTER(N227:N237,NOT(ISBLANK(N227:N237))),_xlfn._xlws.FILTER(E227:E237,NOT(ISBLANK(E227:E237))), FALSE, TRUE)</f>
        <v>-3.8751736876967194E-3</v>
      </c>
      <c r="P227" s="57">
        <f ca="1"/>
        <v>0</v>
      </c>
      <c r="Q227" s="57" cm="1">
        <f t="array" aca="1" ref="Q227:R231" ca="1">LINEST(_xlfn._xlws.FILTER(N227:N237, NOT(ISBLANK(N227:N237))),_xlfn._xlws.FILTER(E227:E237, NOT(ISBLANK(E227:E237))), TRUE, TRUE)</f>
        <v>-3.4481881723012284E-3</v>
      </c>
      <c r="R227" s="57">
        <f ca="1"/>
        <v>-7.5157583767042513E-2</v>
      </c>
      <c r="S227">
        <f ca="1">ABS(O227)</f>
        <v>3.8751736876967194E-3</v>
      </c>
      <c r="T227" cm="1">
        <f t="array" aca="1" ref="T227:U231" ca="1">LINEST(_xlfn._xlws.FILTER(N227:N231, NOT(ISBLANK(N227:N231))),_xlfn._xlws.FILTER(E227:E231, NOT(ISBLANK(E227:E231))), TRUE, TRUE)</f>
        <v>-3.1443802283733727E-3</v>
      </c>
      <c r="U227">
        <f ca="1"/>
        <v>-5.595222076845742E-2</v>
      </c>
      <c r="V227">
        <f ca="1">S227/(2*'characterization &amp; setup'!$B$187/100)</f>
        <v>2.6609804637619066E-2</v>
      </c>
      <c r="W227">
        <f ca="1">ABS(T227)/(2*'characterization &amp; setup'!$B$187/100)</f>
        <v>2.1591637001731157E-2</v>
      </c>
    </row>
    <row r="228" spans="1:23" x14ac:dyDescent="0.4">
      <c r="A228" s="26"/>
      <c r="B228" s="26">
        <v>0.48819444444444443</v>
      </c>
      <c r="C228" s="55">
        <f t="shared" si="79"/>
        <v>703</v>
      </c>
      <c r="D228">
        <v>1</v>
      </c>
      <c r="E228" s="56" cm="1">
        <f t="array" aca="1" ref="E228" ca="1">C228-INDIRECT("C" &amp; (ROW(D228) - D228))</f>
        <v>4</v>
      </c>
      <c r="G228">
        <v>2</v>
      </c>
      <c r="H228">
        <v>222770</v>
      </c>
      <c r="I228" s="28">
        <f t="shared" si="80"/>
        <v>0.43980928501623839</v>
      </c>
      <c r="J228" s="28">
        <f t="shared" si="81"/>
        <v>0.43865442252673637</v>
      </c>
      <c r="L228" s="28">
        <f t="shared" ref="L228:L234" si="82">LN(J228)</f>
        <v>-0.82404336832762959</v>
      </c>
      <c r="M228" s="57"/>
      <c r="N228" s="28" cm="1">
        <f t="array" aca="1" ref="N228" ca="1">L228-INDIRECT("L" &amp; (ROW(L228)-D228))</f>
        <v>-7.7911671691470841E-2</v>
      </c>
      <c r="O228" s="57">
        <f ca="1"/>
        <v>2.0120476229393012E-4</v>
      </c>
      <c r="P228" s="57" t="e">
        <f ca="1"/>
        <v>#N/A</v>
      </c>
      <c r="Q228" s="57">
        <f ca="1"/>
        <v>2.4682326321762203E-4</v>
      </c>
      <c r="R228">
        <f ca="1"/>
        <v>3.1993682464327523E-2</v>
      </c>
      <c r="T228">
        <f ca="1"/>
        <v>1.2140782714163321E-3</v>
      </c>
      <c r="U228">
        <f ca="1"/>
        <v>2.8249177810980988E-2</v>
      </c>
    </row>
    <row r="229" spans="1:23" x14ac:dyDescent="0.4">
      <c r="A229" s="26"/>
      <c r="B229" s="26">
        <v>0.49305555555555558</v>
      </c>
      <c r="C229" s="55">
        <f t="shared" si="79"/>
        <v>710</v>
      </c>
      <c r="D229">
        <v>2</v>
      </c>
      <c r="E229" s="56" cm="1">
        <f t="array" aca="1" ref="E229" ca="1">C229-INDIRECT("C" &amp; (ROW(D229) - D229))</f>
        <v>11</v>
      </c>
      <c r="G229">
        <v>2</v>
      </c>
      <c r="H229">
        <v>210046</v>
      </c>
      <c r="I229" s="28">
        <f t="shared" si="80"/>
        <v>0.41468860744499175</v>
      </c>
      <c r="J229" s="28">
        <f t="shared" si="81"/>
        <v>0.41332264682463893</v>
      </c>
      <c r="L229" s="28">
        <f t="shared" si="82"/>
        <v>-0.88352676384191509</v>
      </c>
      <c r="M229" s="57"/>
      <c r="N229" s="28" cm="1">
        <f t="array" aca="1" ref="N229" ca="1">L229-INDIRECT("L" &amp; (ROW(L229)-D229))</f>
        <v>-0.13739506720575634</v>
      </c>
      <c r="O229" s="57">
        <f ca="1"/>
        <v>0.97374927433798775</v>
      </c>
      <c r="P229" s="57">
        <f ca="1"/>
        <v>8.6499329039354242E-2</v>
      </c>
      <c r="Q229" s="57">
        <f ca="1"/>
        <v>0.95591876432839284</v>
      </c>
      <c r="R229">
        <f ca="1"/>
        <v>7.1788123817064398E-2</v>
      </c>
      <c r="T229">
        <f ca="1"/>
        <v>0.69096849341027</v>
      </c>
      <c r="U229">
        <f ca="1"/>
        <v>4.5342207062734882E-2</v>
      </c>
    </row>
    <row r="230" spans="1:23" x14ac:dyDescent="0.4">
      <c r="A230" s="26"/>
      <c r="B230" s="26">
        <v>0.49861111111111112</v>
      </c>
      <c r="C230" s="55">
        <f t="shared" si="79"/>
        <v>718</v>
      </c>
      <c r="D230">
        <v>3</v>
      </c>
      <c r="E230" s="56" cm="1">
        <f t="array" aca="1" ref="E230" ca="1">C230-INDIRECT("C" &amp; (ROW(D230) - D230))</f>
        <v>19</v>
      </c>
      <c r="F230" t="s">
        <v>84</v>
      </c>
      <c r="G230">
        <v>2</v>
      </c>
      <c r="H230">
        <v>210551</v>
      </c>
      <c r="I230" s="28">
        <f t="shared" si="80"/>
        <v>0.4156856164180725</v>
      </c>
      <c r="J230" s="28">
        <f t="shared" si="81"/>
        <v>0.41432803402438417</v>
      </c>
      <c r="L230" s="28">
        <f t="shared" si="82"/>
        <v>-0.88109726618661155</v>
      </c>
      <c r="M230" s="57"/>
      <c r="N230" s="28" cm="1">
        <f t="array" aca="1" ref="N230" ca="1">L230-INDIRECT("L" &amp; (ROW(L230)-D230))</f>
        <v>-0.1349655695504528</v>
      </c>
      <c r="O230" s="57">
        <f ca="1"/>
        <v>370.94185009411461</v>
      </c>
      <c r="P230" s="57">
        <f ca="1"/>
        <v>10</v>
      </c>
      <c r="Q230" s="57">
        <f ca="1"/>
        <v>195.16850532610889</v>
      </c>
      <c r="R230">
        <f ca="1"/>
        <v>9</v>
      </c>
      <c r="T230">
        <f ca="1"/>
        <v>6.7077480322509562</v>
      </c>
      <c r="U230">
        <f ca="1"/>
        <v>3</v>
      </c>
    </row>
    <row r="231" spans="1:23" x14ac:dyDescent="0.4">
      <c r="A231" s="26"/>
      <c r="B231" s="26">
        <v>0.5180555555555556</v>
      </c>
      <c r="C231" s="55">
        <f t="shared" si="79"/>
        <v>746</v>
      </c>
      <c r="D231">
        <v>4</v>
      </c>
      <c r="E231" s="56" cm="1">
        <f t="array" aca="1" ref="E231" ca="1">C231-INDIRECT("C" &amp; (ROW(D231) - D231))</f>
        <v>47</v>
      </c>
      <c r="F231" t="s">
        <v>84</v>
      </c>
      <c r="G231">
        <v>2</v>
      </c>
      <c r="H231">
        <v>200556</v>
      </c>
      <c r="I231" s="28">
        <f t="shared" si="80"/>
        <v>0.39595273585185037</v>
      </c>
      <c r="J231" s="28">
        <f t="shared" si="81"/>
        <v>0.39442933093239552</v>
      </c>
      <c r="L231" s="28">
        <f t="shared" si="82"/>
        <v>-0.93031529052900908</v>
      </c>
      <c r="M231" s="57"/>
      <c r="N231" s="28" cm="1">
        <f t="array" aca="1" ref="N231" ca="1">L231-INDIRECT("L" &amp; (ROW(L231)-D231))</f>
        <v>-0.18418359389285033</v>
      </c>
      <c r="O231" s="57">
        <f ca="1"/>
        <v>2.7754366005163758</v>
      </c>
      <c r="P231" s="57">
        <f ca="1"/>
        <v>7.4821339242584731E-2</v>
      </c>
      <c r="Q231" s="57">
        <f ca="1"/>
        <v>1.0058076686777679</v>
      </c>
      <c r="R231">
        <f ca="1"/>
        <v>4.6381812490567526E-2</v>
      </c>
      <c r="T231">
        <f ca="1"/>
        <v>1.3790564768312495E-2</v>
      </c>
      <c r="U231">
        <f ca="1"/>
        <v>6.1677472239597764E-3</v>
      </c>
    </row>
    <row r="232" spans="1:23" x14ac:dyDescent="0.4">
      <c r="A232" s="26"/>
      <c r="B232" s="26">
        <v>0.53402777777777777</v>
      </c>
      <c r="C232" s="55">
        <f t="shared" si="79"/>
        <v>769</v>
      </c>
      <c r="D232">
        <v>5</v>
      </c>
      <c r="E232" s="56" cm="1">
        <f t="array" aca="1" ref="E232" ca="1">C232-INDIRECT("C" &amp; (ROW(D232) - D232))</f>
        <v>70</v>
      </c>
      <c r="G232">
        <v>2</v>
      </c>
      <c r="H232">
        <v>167435</v>
      </c>
      <c r="I232" s="28">
        <f t="shared" si="80"/>
        <v>0.3305627671441122</v>
      </c>
      <c r="J232" s="28">
        <f t="shared" si="81"/>
        <v>0.32848986668929819</v>
      </c>
      <c r="L232" s="28">
        <f t="shared" si="82"/>
        <v>-1.1132492887500054</v>
      </c>
      <c r="M232" s="57"/>
      <c r="N232" s="28" cm="1">
        <f t="array" aca="1" ref="N232" ca="1">L232-INDIRECT("L" &amp; (ROW(L232)-D232))</f>
        <v>-0.36711759211384665</v>
      </c>
    </row>
    <row r="233" spans="1:23" x14ac:dyDescent="0.4">
      <c r="A233" s="26"/>
      <c r="B233" s="26">
        <v>0.56180555555555556</v>
      </c>
      <c r="C233" s="55">
        <f t="shared" si="79"/>
        <v>809</v>
      </c>
      <c r="D233">
        <v>6</v>
      </c>
      <c r="E233" s="56" cm="1">
        <f t="array" aca="1" ref="E233" ca="1">C233-INDIRECT("C" &amp; (ROW(D233) - D233))</f>
        <v>110</v>
      </c>
      <c r="G233">
        <v>2</v>
      </c>
      <c r="H233">
        <v>150451</v>
      </c>
      <c r="I233" s="28">
        <f t="shared" si="80"/>
        <v>0.29703167724549123</v>
      </c>
      <c r="J233" s="28">
        <f t="shared" si="81"/>
        <v>0.29467700292598292</v>
      </c>
      <c r="L233" s="28">
        <f t="shared" si="82"/>
        <v>-1.2218754278247055</v>
      </c>
      <c r="M233" s="57"/>
      <c r="N233" s="28" cm="1">
        <f t="array" aca="1" ref="N233" ca="1">L233-INDIRECT("L" &amp; (ROW(L233)-D233))</f>
        <v>-0.47574373118854674</v>
      </c>
    </row>
    <row r="234" spans="1:23" x14ac:dyDescent="0.4">
      <c r="A234" s="26"/>
      <c r="B234" s="26">
        <v>0.58125000000000004</v>
      </c>
      <c r="C234" s="55">
        <f t="shared" si="79"/>
        <v>837</v>
      </c>
      <c r="D234">
        <v>7</v>
      </c>
      <c r="E234" s="56" cm="1">
        <f t="array" aca="1" ref="E234" ca="1">C234-INDIRECT("C" &amp; (ROW(D234) - D234))</f>
        <v>138</v>
      </c>
      <c r="G234">
        <v>2</v>
      </c>
      <c r="H234">
        <v>136298</v>
      </c>
      <c r="I234" s="28">
        <f t="shared" si="80"/>
        <v>0.26908976042170518</v>
      </c>
      <c r="J234" s="28">
        <f t="shared" si="81"/>
        <v>0.2665002800784676</v>
      </c>
      <c r="L234" s="28">
        <f t="shared" si="82"/>
        <v>-1.322379984425692</v>
      </c>
      <c r="N234" s="28" cm="1">
        <f t="array" aca="1" ref="N234" ca="1">L234-INDIRECT("L" &amp; (ROW(L234)-D234))</f>
        <v>-0.5762482877895333</v>
      </c>
    </row>
    <row r="235" spans="1:23" x14ac:dyDescent="0.4">
      <c r="B235" s="26">
        <v>0.6020833333333333</v>
      </c>
      <c r="C235" s="55">
        <f t="shared" si="79"/>
        <v>867</v>
      </c>
      <c r="D235">
        <v>8</v>
      </c>
      <c r="E235" s="56" cm="1">
        <f t="array" aca="1" ref="E235" ca="1">C235-INDIRECT("C" &amp; (ROW(D235) - D235))</f>
        <v>168</v>
      </c>
      <c r="G235">
        <v>2</v>
      </c>
      <c r="H235">
        <v>113414</v>
      </c>
      <c r="I235" s="28">
        <f t="shared" ref="I235:I238" si="83">H235/506515</f>
        <v>0.22391044687719022</v>
      </c>
      <c r="J235" s="28">
        <f t="shared" si="81"/>
        <v>0.22094130843693993</v>
      </c>
      <c r="L235" s="28">
        <f t="shared" ref="L235:L238" si="84">LN(J235)</f>
        <v>-1.5098581854185837</v>
      </c>
      <c r="N235" s="28" cm="1">
        <f t="array" aca="1" ref="N235" ca="1">L235-INDIRECT("L" &amp; (ROW(L235)-D235))</f>
        <v>-0.76372648878242499</v>
      </c>
    </row>
    <row r="236" spans="1:23" x14ac:dyDescent="0.4">
      <c r="B236" s="26">
        <v>0.63611111111111107</v>
      </c>
      <c r="C236" s="55">
        <f t="shared" si="79"/>
        <v>916</v>
      </c>
      <c r="D236">
        <v>9</v>
      </c>
      <c r="E236" s="56" cm="1">
        <f t="array" aca="1" ref="E236" ca="1">C236-INDIRECT("C" &amp; (ROW(D236) - D236))</f>
        <v>217</v>
      </c>
      <c r="G236">
        <v>2</v>
      </c>
      <c r="H236">
        <v>101711</v>
      </c>
      <c r="I236" s="28">
        <f t="shared" si="83"/>
        <v>0.20080550427924149</v>
      </c>
      <c r="J236" s="28">
        <f t="shared" si="81"/>
        <v>0.19764220665749585</v>
      </c>
      <c r="L236" s="28">
        <f t="shared" si="84"/>
        <v>-1.6212969200320253</v>
      </c>
      <c r="N236" s="28" cm="1">
        <f t="array" aca="1" ref="N236" ca="1">L236-INDIRECT("L" &amp; (ROW(L236)-D236))</f>
        <v>-0.87516522339586655</v>
      </c>
    </row>
    <row r="237" spans="1:23" x14ac:dyDescent="0.4">
      <c r="B237" s="26">
        <v>0.67013888888888884</v>
      </c>
      <c r="C237" s="55">
        <f t="shared" si="79"/>
        <v>965</v>
      </c>
      <c r="D237">
        <v>10</v>
      </c>
      <c r="E237" s="56" cm="1">
        <f t="array" aca="1" ref="E237" ca="1">C237-INDIRECT("C" &amp; (ROW(D237) - D237))</f>
        <v>266</v>
      </c>
      <c r="G237">
        <v>2</v>
      </c>
      <c r="H237">
        <v>103746</v>
      </c>
      <c r="I237" s="28">
        <f t="shared" si="83"/>
        <v>0.20482315429947781</v>
      </c>
      <c r="J237" s="28">
        <f t="shared" si="81"/>
        <v>0.20169361844260808</v>
      </c>
      <c r="L237" s="28">
        <f t="shared" si="84"/>
        <v>-1.6010054733791679</v>
      </c>
      <c r="N237" s="28" cm="1">
        <f t="array" aca="1" ref="N237" ca="1">L237-INDIRECT("L" &amp; (ROW(L237)-D237))</f>
        <v>-0.85487377674300913</v>
      </c>
    </row>
    <row r="238" spans="1:23" x14ac:dyDescent="0.4">
      <c r="B238" s="26">
        <v>0.70972222222222225</v>
      </c>
      <c r="C238" s="55">
        <f t="shared" si="79"/>
        <v>1022</v>
      </c>
      <c r="D238">
        <v>11</v>
      </c>
      <c r="E238" s="56" cm="1">
        <f t="array" aca="1" ref="E238" ca="1">C238-INDIRECT("C" &amp; (ROW(D238) - D238))</f>
        <v>323</v>
      </c>
      <c r="G238">
        <v>2</v>
      </c>
      <c r="H238">
        <v>63059</v>
      </c>
      <c r="I238" s="28">
        <f t="shared" si="83"/>
        <v>0.12449581947227624</v>
      </c>
      <c r="J238" s="28">
        <f t="shared" si="81"/>
        <v>0.12069126399500987</v>
      </c>
      <c r="L238" s="28">
        <f t="shared" si="84"/>
        <v>-2.1145195313355853</v>
      </c>
      <c r="N238" s="28" cm="1">
        <f t="array" aca="1" ref="N238" ca="1">L238-INDIRECT("L" &amp; (ROW(L238)-D238))</f>
        <v>-1.3683878346994267</v>
      </c>
    </row>
    <row r="239" spans="1:23" s="16" customFormat="1" x14ac:dyDescent="0.4">
      <c r="A239" s="16" t="s">
        <v>89</v>
      </c>
      <c r="I239" s="27"/>
      <c r="J239" s="27"/>
    </row>
    <row r="240" spans="1:23" s="20" customFormat="1" x14ac:dyDescent="0.4">
      <c r="A240" s="19" t="s">
        <v>159</v>
      </c>
      <c r="I240" s="30"/>
      <c r="J240" s="30"/>
    </row>
    <row r="241" spans="1:23" x14ac:dyDescent="0.4">
      <c r="A241" s="26"/>
      <c r="B241" s="26">
        <v>0.54097222222222219</v>
      </c>
      <c r="C241" s="55">
        <f t="shared" ref="C241:C249" si="85">HOUR(B241)*60+MINUTE(B241)</f>
        <v>779</v>
      </c>
      <c r="D241">
        <v>0</v>
      </c>
      <c r="E241" s="56" cm="1">
        <f t="array" aca="1" ref="E241" ca="1">C241-INDIRECT("C" &amp; (ROW(D241) - D241))</f>
        <v>0</v>
      </c>
      <c r="G241">
        <v>0</v>
      </c>
      <c r="H241">
        <v>201956</v>
      </c>
      <c r="I241" s="28">
        <f t="shared" ref="I241:I249" si="86">H241/506515</f>
        <v>0.39871672112375744</v>
      </c>
      <c r="J241" s="28">
        <f t="shared" ref="J241:J249" si="87">(I241*240-$C$325*2)/238</f>
        <v>0.39721654297129338</v>
      </c>
      <c r="L241" s="28">
        <f>LN(J241)</f>
        <v>-0.92327369870738318</v>
      </c>
      <c r="M241" s="57">
        <f ca="1">SLOPE(L241:L249, E241:E249)</f>
        <v>-8.357506485359701E-3</v>
      </c>
      <c r="N241" s="28" cm="1">
        <f t="array" aca="1" ref="N241" ca="1">L241-INDIRECT("L" &amp; (ROW(L241)-D241))</f>
        <v>0</v>
      </c>
      <c r="O241" s="57" cm="1">
        <f t="array" aca="1" ref="O241:P245" ca="1">LINEST(_xlfn._xlws.FILTER(N241:N249,NOT(ISBLANK(N241:N249))),_xlfn._xlws.FILTER(E241:E249,NOT(ISBLANK(E241:E249))), FALSE, TRUE)</f>
        <v>-7.5852367756458041E-3</v>
      </c>
      <c r="P241" s="57">
        <f ca="1"/>
        <v>0</v>
      </c>
      <c r="Q241" s="57" cm="1">
        <f t="array" aca="1" ref="Q241:R245" ca="1">LINEST(_xlfn._xlws.FILTER(N241:N249, NOT(ISBLANK(N241:N249))),_xlfn._xlws.FILTER(E241:E249, NOT(ISBLANK(E241:E249))), TRUE, TRUE)</f>
        <v>-8.357506485359701E-3</v>
      </c>
      <c r="R241" s="57">
        <f ca="1"/>
        <v>0.10808256208095057</v>
      </c>
      <c r="S241">
        <f ca="1">ABS(O241)</f>
        <v>7.5852367756458041E-3</v>
      </c>
      <c r="T241" cm="1">
        <f t="array" aca="1" ref="T241:U245" ca="1">LINEST(_xlfn._xlws.FILTER(N241:N245, NOT(ISBLANK(N241:N245))),_xlfn._xlws.FILTER(E241:E245, NOT(ISBLANK(E241:E245))), TRUE, TRUE)</f>
        <v>-5.5696199376599181E-3</v>
      </c>
      <c r="U241">
        <f ca="1"/>
        <v>1.8219679260571636E-2</v>
      </c>
      <c r="V241">
        <f ca="1">ABS(S241)/(2*'characterization &amp; setup'!$B$277/100)</f>
        <v>0.20375638150234771</v>
      </c>
      <c r="W241">
        <f ca="1">ABS(T241)/(2*'characterization &amp; setup'!$B$277/100)</f>
        <v>0.14961241664658465</v>
      </c>
    </row>
    <row r="242" spans="1:23" x14ac:dyDescent="0.4">
      <c r="A242" s="26"/>
      <c r="B242" s="26">
        <v>0.54791666666666672</v>
      </c>
      <c r="C242" s="55">
        <f t="shared" si="85"/>
        <v>789</v>
      </c>
      <c r="D242">
        <v>1</v>
      </c>
      <c r="E242" s="56" cm="1">
        <f t="array" aca="1" ref="E242" ca="1">C242-INDIRECT("C" &amp; (ROW(D242) - D242))</f>
        <v>10</v>
      </c>
      <c r="G242">
        <v>2</v>
      </c>
      <c r="H242">
        <v>187745</v>
      </c>
      <c r="I242" s="28">
        <f t="shared" si="86"/>
        <v>0.37066029633870667</v>
      </c>
      <c r="J242" s="28">
        <f t="shared" si="87"/>
        <v>0.36892434991073803</v>
      </c>
      <c r="L242" s="28">
        <f t="shared" ref="L242:L249" si="88">LN(J242)</f>
        <v>-0.99716366975184789</v>
      </c>
      <c r="M242" s="57"/>
      <c r="N242" s="28" cm="1">
        <f t="array" aca="1" ref="N242" ca="1">L242-INDIRECT("L" &amp; (ROW(L242)-D242))</f>
        <v>-7.3889971044464708E-2</v>
      </c>
      <c r="O242" s="57">
        <f ca="1"/>
        <v>4.09544450076879E-4</v>
      </c>
      <c r="P242" s="57" t="e">
        <f ca="1"/>
        <v>#N/A</v>
      </c>
      <c r="Q242" s="57">
        <f ca="1"/>
        <v>5.7119272376078133E-4</v>
      </c>
      <c r="R242">
        <f ca="1"/>
        <v>6.1521106853458594E-2</v>
      </c>
      <c r="T242">
        <f ca="1"/>
        <v>1.109618777685359E-3</v>
      </c>
      <c r="U242">
        <f ca="1"/>
        <v>4.0887607570107468E-2</v>
      </c>
    </row>
    <row r="243" spans="1:23" x14ac:dyDescent="0.4">
      <c r="A243" s="26"/>
      <c r="B243" s="26">
        <v>0.55625000000000002</v>
      </c>
      <c r="C243" s="55">
        <f t="shared" si="85"/>
        <v>801</v>
      </c>
      <c r="D243">
        <v>2</v>
      </c>
      <c r="E243" s="56" cm="1">
        <f t="array" aca="1" ref="E243" ca="1">C243-INDIRECT("C" &amp; (ROW(D243) - D243))</f>
        <v>22</v>
      </c>
      <c r="G243">
        <v>2</v>
      </c>
      <c r="H243">
        <v>189177</v>
      </c>
      <c r="I243" s="28">
        <f t="shared" si="86"/>
        <v>0.37348745841682873</v>
      </c>
      <c r="J243" s="28">
        <f t="shared" si="87"/>
        <v>0.37177526965338209</v>
      </c>
      <c r="L243" s="28">
        <f t="shared" si="88"/>
        <v>-0.98946572109427211</v>
      </c>
      <c r="M243" s="57"/>
      <c r="N243" s="28" cm="1">
        <f t="array" aca="1" ref="N243" ca="1">L243-INDIRECT("L" &amp; (ROW(L243)-D243))</f>
        <v>-6.6192022386888927E-2</v>
      </c>
      <c r="O243" s="57">
        <f ca="1"/>
        <v>0.97721013484647945</v>
      </c>
      <c r="P243" s="57">
        <f ca="1"/>
        <v>0.1323316640408011</v>
      </c>
      <c r="Q243" s="57">
        <f ca="1"/>
        <v>0.96833810174118118</v>
      </c>
      <c r="R243">
        <f ca="1"/>
        <v>0.11785256134302827</v>
      </c>
      <c r="T243">
        <f ca="1"/>
        <v>0.89359578321523303</v>
      </c>
      <c r="U243">
        <f ca="1"/>
        <v>5.8849560559654117E-2</v>
      </c>
    </row>
    <row r="244" spans="1:23" x14ac:dyDescent="0.4">
      <c r="A244" s="26"/>
      <c r="B244" s="26">
        <v>0.5708333333333333</v>
      </c>
      <c r="C244" s="55">
        <f t="shared" si="85"/>
        <v>822</v>
      </c>
      <c r="D244">
        <v>3</v>
      </c>
      <c r="E244" s="56" cm="1">
        <f t="array" aca="1" ref="E244" ca="1">C244-INDIRECT("C" &amp; (ROW(D244) - D244))</f>
        <v>43</v>
      </c>
      <c r="G244">
        <v>2</v>
      </c>
      <c r="H244">
        <v>173606</v>
      </c>
      <c r="I244" s="28">
        <f t="shared" si="86"/>
        <v>0.34274601936763965</v>
      </c>
      <c r="J244" s="28">
        <f t="shared" si="87"/>
        <v>0.34077549918361161</v>
      </c>
      <c r="L244" s="28">
        <f t="shared" si="88"/>
        <v>-1.0765313786782023</v>
      </c>
      <c r="M244" s="57"/>
      <c r="N244" s="28" cm="1">
        <f t="array" aca="1" ref="N244" ca="1">L244-INDIRECT("L" &amp; (ROW(L244)-D244))</f>
        <v>-0.15325767997081907</v>
      </c>
      <c r="O244" s="57">
        <f ca="1"/>
        <v>343.03323104850301</v>
      </c>
      <c r="P244" s="57">
        <f ca="1"/>
        <v>8</v>
      </c>
      <c r="Q244" s="57">
        <f ca="1"/>
        <v>214.08592298474341</v>
      </c>
      <c r="R244">
        <f ca="1"/>
        <v>7</v>
      </c>
      <c r="T244">
        <f ca="1"/>
        <v>25.194371338387477</v>
      </c>
      <c r="U244">
        <f ca="1"/>
        <v>3</v>
      </c>
    </row>
    <row r="245" spans="1:23" x14ac:dyDescent="0.4">
      <c r="A245" s="26"/>
      <c r="B245" s="26">
        <v>0.58680555555555558</v>
      </c>
      <c r="C245" s="55">
        <f t="shared" si="85"/>
        <v>845</v>
      </c>
      <c r="D245">
        <v>4</v>
      </c>
      <c r="E245" s="56" cm="1">
        <f t="array" aca="1" ref="E245" ca="1">C245-INDIRECT("C" &amp; (ROW(D245) - D245))</f>
        <v>66</v>
      </c>
      <c r="G245">
        <v>2</v>
      </c>
      <c r="H245">
        <v>136061</v>
      </c>
      <c r="I245" s="28">
        <f t="shared" si="86"/>
        <v>0.26862185720067522</v>
      </c>
      <c r="J245" s="28">
        <f t="shared" si="87"/>
        <v>0.26602844489759708</v>
      </c>
      <c r="L245" s="28">
        <f t="shared" si="88"/>
        <v>-1.3241520402124007</v>
      </c>
      <c r="M245" s="57"/>
      <c r="N245" s="28" cm="1">
        <f t="array" aca="1" ref="N245" ca="1">L245-INDIRECT("L" &amp; (ROW(L245)-D245))</f>
        <v>-0.40087834150501755</v>
      </c>
      <c r="O245" s="57">
        <f ca="1"/>
        <v>6.0070845037100931</v>
      </c>
      <c r="P245" s="57">
        <f ca="1"/>
        <v>0.14009335446245963</v>
      </c>
      <c r="Q245" s="57">
        <f ca="1"/>
        <v>2.973487813806198</v>
      </c>
      <c r="R245">
        <f ca="1"/>
        <v>9.7224583505785681E-2</v>
      </c>
      <c r="T245">
        <f ca="1"/>
        <v>8.7254930027940547E-2</v>
      </c>
      <c r="U245">
        <f ca="1"/>
        <v>1.0389812334193192E-2</v>
      </c>
    </row>
    <row r="246" spans="1:23" x14ac:dyDescent="0.4">
      <c r="A246" s="26"/>
      <c r="B246" s="26">
        <v>0.61041666666666672</v>
      </c>
      <c r="C246" s="55">
        <f t="shared" si="85"/>
        <v>879</v>
      </c>
      <c r="D246">
        <v>5</v>
      </c>
      <c r="E246" s="56" cm="1">
        <f t="array" aca="1" ref="E246" ca="1">C246-INDIRECT("C" &amp; (ROW(D246) - D246))</f>
        <v>100</v>
      </c>
      <c r="G246">
        <v>2</v>
      </c>
      <c r="H246">
        <v>103271</v>
      </c>
      <c r="I246" s="28">
        <f t="shared" si="86"/>
        <v>0.20388537358222364</v>
      </c>
      <c r="J246" s="28">
        <f t="shared" si="87"/>
        <v>0.20074795721512489</v>
      </c>
      <c r="L246" s="28">
        <f t="shared" si="88"/>
        <v>-1.6057051019722952</v>
      </c>
      <c r="M246" s="57"/>
      <c r="N246" s="28" cm="1">
        <f t="array" aca="1" ref="N246" ca="1">L246-INDIRECT("L" &amp; (ROW(L246)-D246))</f>
        <v>-0.68243140326491203</v>
      </c>
    </row>
    <row r="247" spans="1:23" x14ac:dyDescent="0.4">
      <c r="A247" s="26"/>
      <c r="B247" s="26">
        <v>0.63402777777777775</v>
      </c>
      <c r="C247" s="55">
        <f t="shared" si="85"/>
        <v>913</v>
      </c>
      <c r="D247">
        <v>6</v>
      </c>
      <c r="E247" s="56" cm="1">
        <f t="array" aca="1" ref="E247" ca="1">C247-INDIRECT("C" &amp; (ROW(D247) - D247))</f>
        <v>134</v>
      </c>
      <c r="G247">
        <v>2</v>
      </c>
      <c r="H247">
        <v>87085</v>
      </c>
      <c r="I247" s="28">
        <f t="shared" si="86"/>
        <v>0.17192975528858967</v>
      </c>
      <c r="J247" s="28">
        <f t="shared" si="87"/>
        <v>0.16852380431398142</v>
      </c>
      <c r="L247" s="28">
        <f t="shared" si="88"/>
        <v>-1.78067826727459</v>
      </c>
      <c r="M247" s="57"/>
      <c r="N247" s="28" cm="1">
        <f t="array" aca="1" ref="N247" ca="1">L247-INDIRECT("L" &amp; (ROW(L247)-D247))</f>
        <v>-0.85740456856720682</v>
      </c>
    </row>
    <row r="248" spans="1:23" x14ac:dyDescent="0.4">
      <c r="A248" s="26"/>
      <c r="B248" s="26">
        <v>0.65555555555555556</v>
      </c>
      <c r="C248" s="55">
        <f t="shared" si="85"/>
        <v>944</v>
      </c>
      <c r="D248">
        <v>7</v>
      </c>
      <c r="E248" s="56" cm="1">
        <f t="array" aca="1" ref="E248" ca="1">C248-INDIRECT("C" &amp; (ROW(D248) - D248))</f>
        <v>165</v>
      </c>
      <c r="G248">
        <v>2</v>
      </c>
      <c r="H248">
        <v>61108</v>
      </c>
      <c r="I248" s="28">
        <f t="shared" si="86"/>
        <v>0.12064400856835435</v>
      </c>
      <c r="J248" s="28">
        <f t="shared" si="87"/>
        <v>0.11680708493223149</v>
      </c>
      <c r="L248" s="28">
        <f t="shared" si="88"/>
        <v>-2.1472315517613074</v>
      </c>
      <c r="N248" s="28" cm="1">
        <f t="array" aca="1" ref="N248" ca="1">L248-INDIRECT("L" &amp; (ROW(L248)-D248))</f>
        <v>-1.2239578530539243</v>
      </c>
    </row>
    <row r="249" spans="1:23" x14ac:dyDescent="0.4">
      <c r="A249" s="26"/>
      <c r="B249" s="26">
        <v>0.68402777777777779</v>
      </c>
      <c r="C249" s="55">
        <f t="shared" si="85"/>
        <v>985</v>
      </c>
      <c r="D249">
        <v>8</v>
      </c>
      <c r="E249" s="56" cm="1">
        <f t="array" aca="1" ref="E249" ca="1">C249-INDIRECT("C" &amp; (ROW(D249) - D249))</f>
        <v>206</v>
      </c>
      <c r="G249">
        <v>2</v>
      </c>
      <c r="H249">
        <v>35287</v>
      </c>
      <c r="I249" s="28">
        <f t="shared" si="86"/>
        <v>6.966624877841722E-2</v>
      </c>
      <c r="J249" s="28">
        <f t="shared" si="87"/>
        <v>6.5400940606244476E-2</v>
      </c>
      <c r="L249" s="28">
        <f t="shared" si="88"/>
        <v>-2.7272186382639307</v>
      </c>
      <c r="N249" s="28" cm="1">
        <f t="array" aca="1" ref="N249" ca="1">L249-INDIRECT("L" &amp; (ROW(L249)-D249))</f>
        <v>-1.8039449395565477</v>
      </c>
    </row>
    <row r="250" spans="1:23" x14ac:dyDescent="0.4">
      <c r="A250" s="26"/>
      <c r="B250" s="26"/>
      <c r="C250" s="55"/>
      <c r="E250" s="56"/>
      <c r="L250" s="28"/>
      <c r="N250" s="28"/>
    </row>
    <row r="251" spans="1:23" x14ac:dyDescent="0.4">
      <c r="A251" s="26"/>
      <c r="B251" s="26"/>
      <c r="C251" s="55"/>
      <c r="E251" s="56"/>
      <c r="L251" s="28"/>
      <c r="N251" s="28"/>
    </row>
    <row r="252" spans="1:23" ht="17" customHeight="1" x14ac:dyDescent="0.4"/>
    <row r="253" spans="1:23" s="20" customFormat="1" x14ac:dyDescent="0.4">
      <c r="A253" s="19" t="s">
        <v>160</v>
      </c>
      <c r="I253" s="30"/>
      <c r="J253" s="30"/>
    </row>
    <row r="254" spans="1:23" x14ac:dyDescent="0.4">
      <c r="B254" s="26">
        <v>4.2361111111111113E-2</v>
      </c>
      <c r="C254" s="55">
        <f t="shared" ref="C254:C262" si="89">HOUR(B254)*60+MINUTE(B254)</f>
        <v>61</v>
      </c>
      <c r="D254">
        <v>0</v>
      </c>
      <c r="E254" s="56" cm="1">
        <f t="array" aca="1" ref="E254" ca="1">C254-INDIRECT("C" &amp; (ROW(D254) - D254))</f>
        <v>0</v>
      </c>
      <c r="G254">
        <v>0</v>
      </c>
      <c r="H254">
        <v>210853</v>
      </c>
      <c r="I254" s="28">
        <f t="shared" ref="I254:I262" si="90">H254/506515</f>
        <v>0.41628184752672676</v>
      </c>
      <c r="J254" s="28">
        <f t="shared" ref="J254:J262" si="91">(I254*240-$C$325*2)/238</f>
        <v>0.41492927547848935</v>
      </c>
      <c r="L254" s="28">
        <f>LN(J254)</f>
        <v>-0.8796471938084286</v>
      </c>
      <c r="M254" s="57">
        <f ca="1">SLOPE(L254:L262, E254:E262)</f>
        <v>-8.7113619732270362E-3</v>
      </c>
      <c r="N254" s="28" cm="1">
        <f t="array" aca="1" ref="N254" ca="1">L254-INDIRECT("L" &amp; (ROW(L254)-D254))</f>
        <v>0</v>
      </c>
      <c r="O254" s="57" cm="1">
        <f t="array" aca="1" ref="O254:P258" ca="1">LINEST(_xlfn._xlws.FILTER(N254:N262,NOT(ISBLANK(N254:N262))),_xlfn._xlws.FILTER(E254:E262,NOT(ISBLANK(E254:E262))), FALSE, TRUE)</f>
        <v>-8.4868582152471898E-3</v>
      </c>
      <c r="P254" s="57">
        <f ca="1"/>
        <v>0</v>
      </c>
      <c r="Q254" s="57" cm="1">
        <f t="array" aca="1" ref="Q254:R258" ca="1">LINEST(_xlfn._xlws.FILTER(N254:N262, NOT(ISBLANK(N254:N262))),_xlfn._xlws.FILTER(E254:E262, NOT(ISBLANK(E254:E262))), TRUE, TRUE)</f>
        <v>-8.711361973227038E-3</v>
      </c>
      <c r="R254" s="57">
        <f ca="1"/>
        <v>3.1183909813953581E-2</v>
      </c>
      <c r="S254">
        <f ca="1">ABS(O254)</f>
        <v>8.4868582152471898E-3</v>
      </c>
      <c r="T254" cm="1">
        <f t="array" aca="1" ref="T254:U258" ca="1">LINEST(_xlfn._xlws.FILTER(N254:N258, NOT(ISBLANK(N254:N258))),_xlfn._xlws.FILTER(E254:E258, NOT(ISBLANK(E254:E258))), TRUE, TRUE)</f>
        <v>-6.7293745591853913E-3</v>
      </c>
      <c r="U254">
        <f ca="1"/>
        <v>-2.4792769580877644E-2</v>
      </c>
      <c r="V254">
        <f ca="1">ABS(S254)/(2*'characterization &amp; setup'!$B$277/100)</f>
        <v>0.22797594477398664</v>
      </c>
      <c r="W254">
        <f ca="1">ABS(T254)/(2*'characterization &amp; setup'!$B$277/100)</f>
        <v>0.18076601304734249</v>
      </c>
    </row>
    <row r="255" spans="1:23" x14ac:dyDescent="0.4">
      <c r="B255" s="26">
        <v>4.791666666666667E-2</v>
      </c>
      <c r="C255" s="55">
        <f t="shared" si="89"/>
        <v>69</v>
      </c>
      <c r="D255">
        <v>1</v>
      </c>
      <c r="E255" s="56" cm="1">
        <f t="array" aca="1" ref="E255" ca="1">C255-INDIRECT("C" &amp; (ROW(D255) - D255))</f>
        <v>8</v>
      </c>
      <c r="G255">
        <v>2</v>
      </c>
      <c r="H255">
        <v>186728</v>
      </c>
      <c r="I255" s="28">
        <f t="shared" si="90"/>
        <v>0.36865245846618561</v>
      </c>
      <c r="J255" s="28">
        <f t="shared" si="91"/>
        <v>0.36689963945105286</v>
      </c>
      <c r="L255" s="28">
        <f t="shared" ref="L255:L262" si="92">LN(J255)</f>
        <v>-1.0026669303113458</v>
      </c>
      <c r="M255" s="57"/>
      <c r="N255" s="28" cm="1">
        <f t="array" aca="1" ref="N255" ca="1">L255-INDIRECT("L" &amp; (ROW(L255)-D255))</f>
        <v>-0.1230197365029172</v>
      </c>
      <c r="O255" s="57">
        <f ca="1"/>
        <v>2.3175213807897016E-4</v>
      </c>
      <c r="P255" s="57" t="e">
        <f ca="1"/>
        <v>#N/A</v>
      </c>
      <c r="Q255" s="57">
        <f ca="1"/>
        <v>3.6810900972429649E-4</v>
      </c>
      <c r="R255">
        <f ca="1"/>
        <v>3.9099153621946311E-2</v>
      </c>
      <c r="T255">
        <f ca="1"/>
        <v>5.9891475608600238E-4</v>
      </c>
      <c r="U255">
        <f ca="1"/>
        <v>2.1299820417571516E-2</v>
      </c>
    </row>
    <row r="256" spans="1:23" x14ac:dyDescent="0.4">
      <c r="B256" s="26">
        <v>5.6250000000000001E-2</v>
      </c>
      <c r="C256" s="55">
        <f t="shared" si="89"/>
        <v>81</v>
      </c>
      <c r="D256">
        <v>2</v>
      </c>
      <c r="E256" s="56" cm="1">
        <f t="array" aca="1" ref="E256" ca="1">C256-INDIRECT("C" &amp; (ROW(D256) - D256))</f>
        <v>20</v>
      </c>
      <c r="G256">
        <v>2</v>
      </c>
      <c r="H256">
        <v>183148</v>
      </c>
      <c r="I256" s="28">
        <f t="shared" si="90"/>
        <v>0.3615845532708804</v>
      </c>
      <c r="J256" s="28">
        <f t="shared" si="91"/>
        <v>0.35977234009444264</v>
      </c>
      <c r="L256" s="28">
        <f t="shared" si="92"/>
        <v>-1.0222838362005577</v>
      </c>
      <c r="M256" s="57"/>
      <c r="N256" s="28" cm="1">
        <f t="array" aca="1" ref="N256" ca="1">L256-INDIRECT("L" &amp; (ROW(L256)-D256))</f>
        <v>-0.14263664239212914</v>
      </c>
      <c r="O256" s="57">
        <f ca="1"/>
        <v>0.99406992036999176</v>
      </c>
      <c r="P256" s="57">
        <f ca="1"/>
        <v>7.3847519698723274E-2</v>
      </c>
      <c r="Q256" s="57">
        <f ca="1"/>
        <v>0.9876551968792816</v>
      </c>
      <c r="R256">
        <f ca="1"/>
        <v>7.5586643525421007E-2</v>
      </c>
      <c r="T256">
        <f ca="1"/>
        <v>0.97678854131317316</v>
      </c>
      <c r="U256">
        <f ca="1"/>
        <v>3.1308981348572934E-2</v>
      </c>
    </row>
    <row r="257" spans="1:23" x14ac:dyDescent="0.4">
      <c r="B257" s="26">
        <v>7.1527777777777773E-2</v>
      </c>
      <c r="C257" s="55">
        <f t="shared" si="89"/>
        <v>103</v>
      </c>
      <c r="D257">
        <v>3</v>
      </c>
      <c r="E257" s="56" cm="1">
        <f t="array" aca="1" ref="E257" ca="1">C257-INDIRECT("C" &amp; (ROW(D257) - D257))</f>
        <v>42</v>
      </c>
      <c r="G257">
        <v>2</v>
      </c>
      <c r="H257">
        <v>156829</v>
      </c>
      <c r="I257" s="28">
        <f t="shared" si="90"/>
        <v>0.3096236044342221</v>
      </c>
      <c r="J257" s="28">
        <f t="shared" si="91"/>
        <v>0.30737474462890485</v>
      </c>
      <c r="L257" s="28">
        <f t="shared" si="92"/>
        <v>-1.1796876092589605</v>
      </c>
      <c r="M257" s="57"/>
      <c r="N257" s="28" cm="1">
        <f t="array" aca="1" ref="N257" ca="1">L257-INDIRECT("L" &amp; (ROW(L257)-D257))</f>
        <v>-0.30004041545053195</v>
      </c>
      <c r="O257" s="57">
        <f ca="1"/>
        <v>1341.0543970973358</v>
      </c>
      <c r="P257" s="57">
        <f ca="1"/>
        <v>8</v>
      </c>
      <c r="Q257" s="57">
        <f ca="1"/>
        <v>560.04022992897137</v>
      </c>
      <c r="R257">
        <f ca="1"/>
        <v>7</v>
      </c>
      <c r="T257">
        <f ca="1"/>
        <v>126.24650882465208</v>
      </c>
      <c r="U257">
        <f ca="1"/>
        <v>3</v>
      </c>
    </row>
    <row r="258" spans="1:23" x14ac:dyDescent="0.4">
      <c r="B258" s="26">
        <v>8.6805555555555552E-2</v>
      </c>
      <c r="C258" s="55">
        <f t="shared" si="89"/>
        <v>125</v>
      </c>
      <c r="D258">
        <v>4</v>
      </c>
      <c r="E258" s="56" cm="1">
        <f t="array" aca="1" ref="E258" ca="1">C258-INDIRECT("C" &amp; (ROW(D258) - D258))</f>
        <v>64</v>
      </c>
      <c r="G258">
        <v>2</v>
      </c>
      <c r="H258">
        <v>134006</v>
      </c>
      <c r="I258" s="28">
        <f t="shared" si="90"/>
        <v>0.26456472167655448</v>
      </c>
      <c r="J258" s="28">
        <f t="shared" si="91"/>
        <v>0.2619372157976434</v>
      </c>
      <c r="L258" s="28">
        <f t="shared" si="92"/>
        <v>-1.3396504382980809</v>
      </c>
      <c r="M258" s="57"/>
      <c r="N258" s="28" cm="1">
        <f t="array" aca="1" ref="N258" ca="1">L258-INDIRECT("L" &amp; (ROW(L258)-D258))</f>
        <v>-0.46000324448965235</v>
      </c>
      <c r="O258" s="57">
        <f ca="1"/>
        <v>7.3133813703269643</v>
      </c>
      <c r="P258" s="57">
        <f ca="1"/>
        <v>4.3627649325226572E-2</v>
      </c>
      <c r="Q258" s="57">
        <f ca="1"/>
        <v>3.1997006277756017</v>
      </c>
      <c r="R258">
        <f ca="1"/>
        <v>3.9993384756073481E-2</v>
      </c>
      <c r="T258">
        <f ca="1"/>
        <v>0.12375343229430742</v>
      </c>
      <c r="U258">
        <f ca="1"/>
        <v>2.9407569392558642E-3</v>
      </c>
    </row>
    <row r="259" spans="1:23" x14ac:dyDescent="0.4">
      <c r="B259" s="26">
        <v>0.11041666666666666</v>
      </c>
      <c r="C259" s="55">
        <f t="shared" si="89"/>
        <v>159</v>
      </c>
      <c r="D259">
        <v>5</v>
      </c>
      <c r="E259" s="56" cm="1">
        <f t="array" aca="1" ref="E259" ca="1">C259-INDIRECT("C" &amp; (ROW(D259) - D259))</f>
        <v>98</v>
      </c>
      <c r="G259">
        <v>2</v>
      </c>
      <c r="H259">
        <v>95553</v>
      </c>
      <c r="I259" s="28">
        <f t="shared" si="90"/>
        <v>0.1886479176332389</v>
      </c>
      <c r="J259" s="28">
        <f t="shared" si="91"/>
        <v>0.18538245541782938</v>
      </c>
      <c r="L259" s="28">
        <f t="shared" si="92"/>
        <v>-1.6853342612999693</v>
      </c>
      <c r="M259" s="57"/>
      <c r="N259" s="28" cm="1">
        <f t="array" aca="1" ref="N259" ca="1">L259-INDIRECT("L" &amp; (ROW(L259)-D259))</f>
        <v>-0.80568706749154073</v>
      </c>
    </row>
    <row r="260" spans="1:23" x14ac:dyDescent="0.4">
      <c r="B260" s="26">
        <v>0.13402777777777777</v>
      </c>
      <c r="C260" s="55">
        <f t="shared" si="89"/>
        <v>193</v>
      </c>
      <c r="D260">
        <v>6</v>
      </c>
      <c r="E260" s="56" cm="1">
        <f t="array" aca="1" ref="E260" ca="1">C260-INDIRECT("C" &amp; (ROW(D260) - D260))</f>
        <v>132</v>
      </c>
      <c r="G260">
        <v>2</v>
      </c>
      <c r="H260">
        <v>79985</v>
      </c>
      <c r="I260" s="28">
        <f t="shared" si="90"/>
        <v>0.1579124014096325</v>
      </c>
      <c r="J260" s="28">
        <f t="shared" si="91"/>
        <v>0.15438865754528508</v>
      </c>
      <c r="L260" s="28">
        <f t="shared" si="92"/>
        <v>-1.8682821055841565</v>
      </c>
      <c r="M260" s="57"/>
      <c r="N260" s="28" cm="1">
        <f t="array" aca="1" ref="N260" ca="1">L260-INDIRECT("L" &amp; (ROW(L260)-D260))</f>
        <v>-0.98863491177572793</v>
      </c>
    </row>
    <row r="261" spans="1:23" x14ac:dyDescent="0.4">
      <c r="B261" s="26">
        <v>0.15555555555555556</v>
      </c>
      <c r="C261" s="55">
        <f t="shared" si="89"/>
        <v>224</v>
      </c>
      <c r="D261">
        <v>7</v>
      </c>
      <c r="E261" s="56" cm="1">
        <f t="array" aca="1" ref="E261" ca="1">C261-INDIRECT("C" &amp; (ROW(D261) - D261))</f>
        <v>163</v>
      </c>
      <c r="G261">
        <v>2</v>
      </c>
      <c r="H261">
        <v>50508</v>
      </c>
      <c r="I261" s="28">
        <f t="shared" si="90"/>
        <v>9.9716691509629529E-2</v>
      </c>
      <c r="J261" s="28">
        <f t="shared" si="91"/>
        <v>9.5703908066290505E-2</v>
      </c>
      <c r="L261" s="28">
        <f t="shared" si="92"/>
        <v>-2.346496144718667</v>
      </c>
      <c r="N261" s="28" cm="1">
        <f t="array" aca="1" ref="N261" ca="1">L261-INDIRECT("L" &amp; (ROW(L261)-D261))</f>
        <v>-1.4668489509102383</v>
      </c>
    </row>
    <row r="262" spans="1:23" x14ac:dyDescent="0.4">
      <c r="B262" s="26">
        <v>0.18402777777777779</v>
      </c>
      <c r="C262" s="55">
        <f t="shared" si="89"/>
        <v>265</v>
      </c>
      <c r="D262">
        <v>8</v>
      </c>
      <c r="E262" s="56" cm="1">
        <f t="array" aca="1" ref="E262" ca="1">C262-INDIRECT("C" &amp; (ROW(D262) - D262))</f>
        <v>204</v>
      </c>
      <c r="G262">
        <v>2</v>
      </c>
      <c r="H262">
        <v>36871</v>
      </c>
      <c r="I262" s="28">
        <f t="shared" si="90"/>
        <v>7.2793500686060636E-2</v>
      </c>
      <c r="J262" s="28">
        <f t="shared" si="91"/>
        <v>6.8554471941683209E-2</v>
      </c>
      <c r="L262" s="28">
        <f t="shared" si="92"/>
        <v>-2.6801266388990754</v>
      </c>
      <c r="N262" s="28" cm="1">
        <f t="array" aca="1" ref="N262" ca="1">L262-INDIRECT("L" &amp; (ROW(L262)-D262))</f>
        <v>-1.8004794450906467</v>
      </c>
    </row>
    <row r="263" spans="1:23" x14ac:dyDescent="0.4">
      <c r="B263" s="26"/>
      <c r="C263" s="55"/>
      <c r="E263" s="56"/>
      <c r="L263" s="28"/>
      <c r="N263" s="28"/>
    </row>
    <row r="264" spans="1:23" x14ac:dyDescent="0.4">
      <c r="B264" s="26"/>
      <c r="C264" s="55"/>
      <c r="E264" s="56"/>
      <c r="L264" s="28"/>
      <c r="N264" s="28"/>
    </row>
    <row r="266" spans="1:23" s="20" customFormat="1" x14ac:dyDescent="0.4">
      <c r="A266" s="19" t="s">
        <v>161</v>
      </c>
      <c r="I266" s="30"/>
      <c r="J266" s="30"/>
    </row>
    <row r="267" spans="1:23" x14ac:dyDescent="0.4">
      <c r="B267" s="26">
        <v>4.4444444444444446E-2</v>
      </c>
      <c r="C267" s="55">
        <f t="shared" ref="C267:C275" si="93">HOUR(B267)*60+MINUTE(B267)</f>
        <v>64</v>
      </c>
      <c r="D267">
        <v>0</v>
      </c>
      <c r="E267" s="56" cm="1">
        <f t="array" aca="1" ref="E267" ca="1">C267-INDIRECT("C" &amp; (ROW(D267) - D267))</f>
        <v>0</v>
      </c>
      <c r="G267">
        <v>0</v>
      </c>
      <c r="H267">
        <v>273828</v>
      </c>
      <c r="I267" s="28">
        <f t="shared" ref="I267:I275" si="94">H267/506515</f>
        <v>0.54061182788268858</v>
      </c>
      <c r="J267" s="28">
        <f t="shared" ref="J267:J275" si="95">(I267*240-$C$325*2)/238</f>
        <v>0.54030404558534162</v>
      </c>
      <c r="L267" s="28">
        <f>LN(J267)</f>
        <v>-0.61562325049525657</v>
      </c>
      <c r="M267" s="57">
        <f ca="1">SLOPE(L267:L275, E267:E275)</f>
        <v>-7.326363573936681E-3</v>
      </c>
      <c r="N267" s="28" cm="1">
        <f t="array" aca="1" ref="N267" ca="1">L267-INDIRECT("L" &amp; (ROW(L267)-D267))</f>
        <v>0</v>
      </c>
      <c r="O267" s="57" cm="1">
        <f t="array" aca="1" ref="O267:P271" ca="1">LINEST(_xlfn._xlws.FILTER(N267:N275,NOT(ISBLANK(N267:N275))),_xlfn._xlws.FILTER(E267:E275,NOT(ISBLANK(E267:E275))), FALSE, TRUE)</f>
        <v>-8.0525730613683483E-3</v>
      </c>
      <c r="P267" s="57">
        <f ca="1"/>
        <v>0</v>
      </c>
      <c r="Q267" s="57" cm="1">
        <f t="array" aca="1" ref="Q267:R271" ca="1">LINEST(_xlfn._xlws.FILTER(N267:N275, NOT(ISBLANK(N267:N275))),_xlfn._xlws.FILTER(E267:E275, NOT(ISBLANK(E267:E275))), TRUE, TRUE)</f>
        <v>-7.326363573936681E-3</v>
      </c>
      <c r="R267" s="57">
        <f ca="1"/>
        <v>-0.11860573912695593</v>
      </c>
      <c r="S267">
        <f ca="1">ABS(O267)</f>
        <v>8.0525730613683483E-3</v>
      </c>
      <c r="T267" cm="1">
        <f t="array" aca="1" ref="T267:U271" ca="1">LINEST(_xlfn._xlws.FILTER(N267:N271, NOT(ISBLANK(N267:N271))),_xlfn._xlws.FILTER(E267:E271, NOT(ISBLANK(E267:E271))), TRUE, TRUE)</f>
        <v>-8.6486579645376378E-3</v>
      </c>
      <c r="U267">
        <f ca="1"/>
        <v>-6.451286810788634E-2</v>
      </c>
      <c r="V267">
        <f ca="1">ABS(S267)/(2*'characterization &amp; setup'!$B$277/100)</f>
        <v>0.21631007670528563</v>
      </c>
      <c r="W267">
        <f ca="1">ABS(T267)/(2*'characterization &amp; setup'!$B$277/100)</f>
        <v>0.23232224699480319</v>
      </c>
    </row>
    <row r="268" spans="1:23" x14ac:dyDescent="0.4">
      <c r="B268" s="26">
        <v>4.8611111111111112E-2</v>
      </c>
      <c r="C268" s="55">
        <f t="shared" si="93"/>
        <v>70</v>
      </c>
      <c r="D268">
        <v>1</v>
      </c>
      <c r="E268" s="56" cm="1">
        <f t="array" aca="1" ref="E268" ca="1">C268-INDIRECT("C" &amp; (ROW(D268) - D268))</f>
        <v>6</v>
      </c>
      <c r="G268">
        <v>2</v>
      </c>
      <c r="H268">
        <v>245970</v>
      </c>
      <c r="I268" s="28">
        <f t="shared" si="94"/>
        <v>0.48561246952212667</v>
      </c>
      <c r="J268" s="28">
        <f t="shared" si="95"/>
        <v>0.48484250774275817</v>
      </c>
      <c r="L268" s="28">
        <f t="shared" ref="L268:L275" si="96">LN(J268)</f>
        <v>-0.72393116708324801</v>
      </c>
      <c r="M268" s="57"/>
      <c r="N268" s="28" cm="1">
        <f t="array" aca="1" ref="N268" ca="1">L268-INDIRECT("L" &amp; (ROW(L268)-D268))</f>
        <v>-0.10830791658799144</v>
      </c>
      <c r="O268" s="57">
        <f ca="1"/>
        <v>3.646093235246229E-4</v>
      </c>
      <c r="P268" s="57" t="e">
        <f ca="1"/>
        <v>#N/A</v>
      </c>
      <c r="Q268" s="57">
        <f ca="1"/>
        <v>4.1940837669005048E-4</v>
      </c>
      <c r="R268">
        <f ca="1"/>
        <v>4.9609508859617388E-2</v>
      </c>
      <c r="T268">
        <f ca="1"/>
        <v>1.331153367921629E-3</v>
      </c>
      <c r="U268">
        <f ca="1"/>
        <v>4.4905467938785713E-2</v>
      </c>
    </row>
    <row r="269" spans="1:23" x14ac:dyDescent="0.4">
      <c r="B269" s="26">
        <v>5.6250000000000001E-2</v>
      </c>
      <c r="C269" s="55">
        <f t="shared" si="93"/>
        <v>81</v>
      </c>
      <c r="D269">
        <v>2</v>
      </c>
      <c r="E269" s="56" cm="1">
        <f t="array" aca="1" ref="E269" ca="1">C269-INDIRECT("C" &amp; (ROW(D269) - D269))</f>
        <v>17</v>
      </c>
      <c r="G269">
        <v>2</v>
      </c>
      <c r="H269">
        <v>202995</v>
      </c>
      <c r="I269" s="28">
        <f t="shared" si="94"/>
        <v>0.40076799305055133</v>
      </c>
      <c r="J269" s="28">
        <f t="shared" si="95"/>
        <v>0.39928505247730406</v>
      </c>
      <c r="L269" s="28">
        <f t="shared" si="96"/>
        <v>-0.91807969993043714</v>
      </c>
      <c r="M269" s="57"/>
      <c r="N269" s="28" cm="1">
        <f t="array" aca="1" ref="N269" ca="1">L269-INDIRECT("L" &amp; (ROW(L269)-D269))</f>
        <v>-0.30245644943518057</v>
      </c>
      <c r="O269" s="57">
        <f ca="1"/>
        <v>0.98386343837015222</v>
      </c>
      <c r="P269" s="57">
        <f ca="1"/>
        <v>0.12938289126538788</v>
      </c>
      <c r="Q269" s="57">
        <f ca="1"/>
        <v>0.97757434673404897</v>
      </c>
      <c r="R269">
        <f ca="1"/>
        <v>0.10262401060572014</v>
      </c>
      <c r="T269">
        <f ca="1"/>
        <v>0.93364669416707102</v>
      </c>
      <c r="U269">
        <f ca="1"/>
        <v>6.806868073271144E-2</v>
      </c>
    </row>
    <row r="270" spans="1:23" x14ac:dyDescent="0.4">
      <c r="B270" s="26">
        <v>7.1527777777777773E-2</v>
      </c>
      <c r="C270" s="55">
        <f t="shared" si="93"/>
        <v>103</v>
      </c>
      <c r="D270">
        <v>3</v>
      </c>
      <c r="E270" s="56" cm="1">
        <f t="array" aca="1" ref="E270" ca="1">C270-INDIRECT("C" &amp; (ROW(D270) - D270))</f>
        <v>39</v>
      </c>
      <c r="G270">
        <v>2</v>
      </c>
      <c r="H270">
        <v>181191</v>
      </c>
      <c r="I270" s="28">
        <f t="shared" si="94"/>
        <v>0.35772089671579321</v>
      </c>
      <c r="J270" s="28">
        <f t="shared" si="95"/>
        <v>0.3558762158372118</v>
      </c>
      <c r="L270" s="28">
        <f t="shared" si="96"/>
        <v>-1.0331723169171005</v>
      </c>
      <c r="M270" s="57"/>
      <c r="N270" s="28" cm="1">
        <f t="array" aca="1" ref="N270" ca="1">L270-INDIRECT("L" &amp; (ROW(L270)-D270))</f>
        <v>-0.41754906642184397</v>
      </c>
      <c r="O270" s="57">
        <f ca="1"/>
        <v>487.76856479774176</v>
      </c>
      <c r="P270" s="57">
        <f ca="1"/>
        <v>8</v>
      </c>
      <c r="Q270" s="57">
        <f ca="1"/>
        <v>305.14252342999214</v>
      </c>
      <c r="R270">
        <f ca="1"/>
        <v>7</v>
      </c>
      <c r="T270">
        <f ca="1"/>
        <v>42.212517482605946</v>
      </c>
      <c r="U270">
        <f ca="1"/>
        <v>3</v>
      </c>
    </row>
    <row r="271" spans="1:23" x14ac:dyDescent="0.4">
      <c r="B271" s="26">
        <v>8.7499999999999994E-2</v>
      </c>
      <c r="C271" s="55">
        <f t="shared" si="93"/>
        <v>126</v>
      </c>
      <c r="D271">
        <v>4</v>
      </c>
      <c r="E271" s="56" cm="1">
        <f t="array" aca="1" ref="E271" ca="1">C271-INDIRECT("C" &amp; (ROW(D271) - D271))</f>
        <v>62</v>
      </c>
      <c r="G271">
        <v>2</v>
      </c>
      <c r="H271">
        <v>156425</v>
      </c>
      <c r="I271" s="28">
        <f t="shared" si="94"/>
        <v>0.30882599725575749</v>
      </c>
      <c r="J271" s="28">
        <f t="shared" si="95"/>
        <v>0.30657043486910857</v>
      </c>
      <c r="L271" s="28">
        <f t="shared" si="96"/>
        <v>-1.1823077461923392</v>
      </c>
      <c r="M271" s="57"/>
      <c r="N271" s="28" cm="1">
        <f t="array" aca="1" ref="N271" ca="1">L271-INDIRECT("L" &amp; (ROW(L271)-D271))</f>
        <v>-0.56668449569708268</v>
      </c>
      <c r="O271" s="57">
        <f ca="1"/>
        <v>8.1652128757932925</v>
      </c>
      <c r="P271" s="57">
        <f ca="1"/>
        <v>0.13391946041752947</v>
      </c>
      <c r="Q271" s="57">
        <f ca="1"/>
        <v>3.2136657158385336</v>
      </c>
      <c r="R271">
        <f ca="1"/>
        <v>7.372181286962072E-2</v>
      </c>
      <c r="T271">
        <f ca="1"/>
        <v>0.19558516933955269</v>
      </c>
      <c r="U271">
        <f ca="1"/>
        <v>1.3900035890075402E-2</v>
      </c>
    </row>
    <row r="272" spans="1:23" x14ac:dyDescent="0.4">
      <c r="B272" s="26">
        <v>0.11041666666666666</v>
      </c>
      <c r="C272" s="55">
        <f t="shared" si="93"/>
        <v>159</v>
      </c>
      <c r="D272">
        <v>5</v>
      </c>
      <c r="E272" s="56" cm="1">
        <f t="array" aca="1" ref="E272" ca="1">C272-INDIRECT("C" &amp; (ROW(D272) - D272))</f>
        <v>95</v>
      </c>
      <c r="G272">
        <v>2</v>
      </c>
      <c r="H272">
        <v>120746</v>
      </c>
      <c r="I272" s="28">
        <f t="shared" si="94"/>
        <v>0.23838583260120627</v>
      </c>
      <c r="J272" s="28">
        <f t="shared" si="95"/>
        <v>0.23553833605779645</v>
      </c>
      <c r="L272" s="28">
        <f t="shared" si="96"/>
        <v>-1.4458815929657838</v>
      </c>
      <c r="M272" s="57"/>
      <c r="N272" s="28" cm="1">
        <f t="array" aca="1" ref="N272" ca="1">L272-INDIRECT("L" &amp; (ROW(L272)-D272))</f>
        <v>-0.83025834247052721</v>
      </c>
    </row>
    <row r="273" spans="1:23" x14ac:dyDescent="0.4">
      <c r="B273" s="26">
        <v>0.13402777777777777</v>
      </c>
      <c r="C273" s="55">
        <f t="shared" si="93"/>
        <v>193</v>
      </c>
      <c r="D273">
        <v>6</v>
      </c>
      <c r="E273" s="56" cm="1">
        <f t="array" aca="1" ref="E273" ca="1">C273-INDIRECT("C" &amp; (ROW(D273) - D273))</f>
        <v>129</v>
      </c>
      <c r="G273">
        <v>2</v>
      </c>
      <c r="H273">
        <v>89559</v>
      </c>
      <c r="I273" s="28">
        <f t="shared" si="94"/>
        <v>0.17681411211908829</v>
      </c>
      <c r="J273" s="28">
        <f t="shared" si="95"/>
        <v>0.17344920615986234</v>
      </c>
      <c r="L273" s="28">
        <f t="shared" si="96"/>
        <v>-1.751870482343284</v>
      </c>
      <c r="M273" s="57"/>
      <c r="N273" s="28" cm="1">
        <f t="array" aca="1" ref="N273" ca="1">L273-INDIRECT("L" &amp; (ROW(L273)-D273))</f>
        <v>-1.1362472318480275</v>
      </c>
    </row>
    <row r="274" spans="1:23" x14ac:dyDescent="0.4">
      <c r="B274" s="26">
        <v>0.15625</v>
      </c>
      <c r="C274" s="55">
        <f t="shared" si="93"/>
        <v>225</v>
      </c>
      <c r="D274">
        <v>7</v>
      </c>
      <c r="E274" s="56" cm="1">
        <f t="array" aca="1" ref="E274" ca="1">C274-INDIRECT("C" &amp; (ROW(D274) - D274))</f>
        <v>161</v>
      </c>
      <c r="G274">
        <v>2</v>
      </c>
      <c r="H274">
        <v>65394</v>
      </c>
      <c r="I274" s="28">
        <f t="shared" si="94"/>
        <v>0.12910575205077837</v>
      </c>
      <c r="J274" s="28">
        <f t="shared" si="95"/>
        <v>0.12533993550274311</v>
      </c>
      <c r="L274" s="28">
        <f t="shared" si="96"/>
        <v>-2.076725748764142</v>
      </c>
      <c r="N274" s="28" cm="1">
        <f t="array" aca="1" ref="N274" ca="1">L274-INDIRECT("L" &amp; (ROW(L274)-D274))</f>
        <v>-1.4611024982688854</v>
      </c>
    </row>
    <row r="275" spans="1:23" x14ac:dyDescent="0.4">
      <c r="B275" s="26">
        <v>0.22638888888888889</v>
      </c>
      <c r="C275" s="55">
        <f t="shared" si="93"/>
        <v>326</v>
      </c>
      <c r="D275">
        <v>8</v>
      </c>
      <c r="E275" s="56" cm="1">
        <f t="array" aca="1" ref="E275" ca="1">C275-INDIRECT("C" &amp; (ROW(D275) - D275))</f>
        <v>262</v>
      </c>
      <c r="G275">
        <v>2</v>
      </c>
      <c r="H275">
        <v>43294</v>
      </c>
      <c r="I275" s="28">
        <f t="shared" si="94"/>
        <v>8.547427025853134E-2</v>
      </c>
      <c r="J275" s="28">
        <f t="shared" si="95"/>
        <v>8.1341802602998212E-2</v>
      </c>
      <c r="L275" s="28">
        <f t="shared" si="96"/>
        <v>-2.5090952174135031</v>
      </c>
      <c r="N275" s="28" cm="1">
        <f t="array" aca="1" ref="N275" ca="1">L275-INDIRECT("L" &amp; (ROW(L275)-D275))</f>
        <v>-1.8934719669182465</v>
      </c>
    </row>
    <row r="279" spans="1:23" s="20" customFormat="1" x14ac:dyDescent="0.4">
      <c r="A279" s="19" t="s">
        <v>162</v>
      </c>
      <c r="I279" s="30"/>
      <c r="J279" s="30"/>
    </row>
    <row r="280" spans="1:23" x14ac:dyDescent="0.4">
      <c r="B280" s="26">
        <v>4.6527777777777779E-2</v>
      </c>
      <c r="C280" s="55">
        <f t="shared" ref="C280:C288" si="97">HOUR(B280)*60+MINUTE(B280)</f>
        <v>67</v>
      </c>
      <c r="D280">
        <v>0</v>
      </c>
      <c r="E280" s="56" cm="1">
        <f t="array" aca="1" ref="E280" ca="1">C280-INDIRECT("C" &amp; (ROW(D280) - D280))</f>
        <v>0</v>
      </c>
      <c r="G280">
        <v>0</v>
      </c>
      <c r="H280">
        <v>251942</v>
      </c>
      <c r="I280" s="28">
        <f t="shared" ref="I280:I288" si="98">H280/506515</f>
        <v>0.49740284098200449</v>
      </c>
      <c r="J280" s="28">
        <f t="shared" ref="J280:J289" si="99">(I280*240-$C$325*2)/238</f>
        <v>0.49673195795439967</v>
      </c>
      <c r="L280" s="28">
        <f>LN(J280)</f>
        <v>-0.699704718382125</v>
      </c>
      <c r="M280" s="57">
        <f ca="1">SLOPE(L280:L288, E280:E288)</f>
        <v>-2.4580806191074204E-3</v>
      </c>
      <c r="N280" s="28" cm="1">
        <f t="array" aca="1" ref="N280" ca="1">L280-INDIRECT("L" &amp; (ROW(L280)-D280))</f>
        <v>0</v>
      </c>
      <c r="O280" s="57" cm="1">
        <f t="array" aca="1" ref="O280:P284" ca="1">LINEST(_xlfn._xlws.FILTER(N280:N288,NOT(ISBLANK(N280:N288))),_xlfn._xlws.FILTER(E280:E288,NOT(ISBLANK(E280:E288))), FALSE, TRUE)</f>
        <v>-2.5973515437430214E-3</v>
      </c>
      <c r="P280" s="57">
        <f ca="1"/>
        <v>0</v>
      </c>
      <c r="Q280" s="57" cm="1">
        <f t="array" aca="1" ref="Q280:R284" ca="1">LINEST(_xlfn._xlws.FILTER(N280:N288, NOT(ISBLANK(N280:N288))),_xlfn._xlws.FILTER(E280:E288, NOT(ISBLANK(E280:E288))), TRUE, TRUE)</f>
        <v>-2.4580806191074208E-3</v>
      </c>
      <c r="R280" s="57">
        <f ca="1"/>
        <v>-2.4155655608524534E-2</v>
      </c>
      <c r="S280">
        <f ca="1">ABS(O280)</f>
        <v>2.5973515437430214E-3</v>
      </c>
      <c r="T280" cm="1">
        <f t="array" aca="1" ref="T280:U284" ca="1">LINEST(_xlfn._xlws.FILTER(N280:N284, NOT(ISBLANK(N280:N284))),_xlfn._xlws.FILTER(E280:E284, NOT(ISBLANK(E280:E284))), TRUE, TRUE)</f>
        <v>-1.4044846596768716E-3</v>
      </c>
      <c r="U280">
        <f ca="1"/>
        <v>-4.2303855851196989E-2</v>
      </c>
      <c r="V280">
        <f ca="1">ABS(S280)/(2*'characterization &amp; setup'!$B$324/100)</f>
        <v>6.0303322034759702E-2</v>
      </c>
      <c r="W280">
        <f ca="1">ABS(T280)/(2*'characterization &amp; setup'!$B$324/100)</f>
        <v>3.2608250865926641E-2</v>
      </c>
    </row>
    <row r="281" spans="1:23" x14ac:dyDescent="0.4">
      <c r="B281" s="26">
        <v>5.486111111111111E-2</v>
      </c>
      <c r="C281" s="55">
        <f t="shared" si="97"/>
        <v>79</v>
      </c>
      <c r="D281">
        <v>1</v>
      </c>
      <c r="E281" s="56" cm="1">
        <f t="array" aca="1" ref="E281" ca="1">C281-INDIRECT("C" &amp; (ROW(D281) - D281))</f>
        <v>12</v>
      </c>
      <c r="G281">
        <v>2</v>
      </c>
      <c r="H281">
        <v>229110</v>
      </c>
      <c r="I281" s="28">
        <f t="shared" si="98"/>
        <v>0.45232618974758892</v>
      </c>
      <c r="J281" s="28">
        <f t="shared" si="99"/>
        <v>0.45127651133145963</v>
      </c>
      <c r="L281" s="28">
        <f t="shared" ref="L281:L288" si="100">LN(J281)</f>
        <v>-0.79567502018777059</v>
      </c>
      <c r="M281" s="57"/>
      <c r="N281" s="28" cm="1">
        <f t="array" aca="1" ref="N281" ca="1">L281-INDIRECT("L" &amp; (ROW(L281)-D281))</f>
        <v>-9.5970301805645586E-2</v>
      </c>
      <c r="O281" s="57">
        <f ca="1"/>
        <v>1.7975469481715814E-4</v>
      </c>
      <c r="P281" s="57" t="e">
        <f ca="1"/>
        <v>#N/A</v>
      </c>
      <c r="Q281" s="57">
        <f ca="1"/>
        <v>2.7033017473082193E-4</v>
      </c>
      <c r="R281">
        <f ca="1"/>
        <v>3.4086266078577426E-2</v>
      </c>
      <c r="T281">
        <f ca="1"/>
        <v>1.4727084028577364E-3</v>
      </c>
      <c r="U281">
        <f ca="1"/>
        <v>4.9959339886119704E-2</v>
      </c>
    </row>
    <row r="282" spans="1:23" x14ac:dyDescent="0.4">
      <c r="B282" s="26">
        <v>6.25E-2</v>
      </c>
      <c r="C282" s="55">
        <f t="shared" si="97"/>
        <v>90</v>
      </c>
      <c r="D282">
        <v>2</v>
      </c>
      <c r="E282" s="56" cm="1">
        <f t="array" aca="1" ref="E282" ca="1">C282-INDIRECT("C" &amp; (ROW(D282) - D282))</f>
        <v>23</v>
      </c>
      <c r="G282">
        <v>2</v>
      </c>
      <c r="H282">
        <v>219753</v>
      </c>
      <c r="I282" s="28">
        <f t="shared" si="98"/>
        <v>0.43385289675527872</v>
      </c>
      <c r="J282" s="28">
        <f t="shared" si="99"/>
        <v>0.43264798058291148</v>
      </c>
      <c r="L282" s="28">
        <f t="shared" si="100"/>
        <v>-0.83783085949393654</v>
      </c>
      <c r="M282" s="57"/>
      <c r="N282" s="28" cm="1">
        <f t="array" aca="1" ref="N282" ca="1">L282-INDIRECT("L" &amp; (ROW(L282)-D282))</f>
        <v>-0.13812614111181154</v>
      </c>
      <c r="O282" s="57">
        <f ca="1"/>
        <v>0.96309721606112753</v>
      </c>
      <c r="P282" s="57">
        <f ca="1"/>
        <v>6.7996475375109569E-2</v>
      </c>
      <c r="Q282" s="57">
        <f ca="1"/>
        <v>0.9219451441009856</v>
      </c>
      <c r="R282">
        <f ca="1"/>
        <v>7.021614886733818E-2</v>
      </c>
      <c r="T282">
        <f ca="1"/>
        <v>0.23263752697112988</v>
      </c>
      <c r="U282">
        <f ca="1"/>
        <v>6.8489649744927078E-2</v>
      </c>
    </row>
    <row r="283" spans="1:23" x14ac:dyDescent="0.4">
      <c r="B283" s="26">
        <v>7.4305555555555555E-2</v>
      </c>
      <c r="C283" s="55">
        <f t="shared" si="97"/>
        <v>107</v>
      </c>
      <c r="D283">
        <v>3</v>
      </c>
      <c r="E283" s="56" cm="1">
        <f t="array" aca="1" ref="E283" ca="1">C283-INDIRECT("C" &amp; (ROW(D283) - D283))</f>
        <v>40</v>
      </c>
      <c r="G283">
        <v>2</v>
      </c>
      <c r="H283">
        <v>247385</v>
      </c>
      <c r="I283" s="28">
        <f t="shared" si="98"/>
        <v>0.48840606892194705</v>
      </c>
      <c r="J283" s="28">
        <f t="shared" si="99"/>
        <v>0.48765958276778715</v>
      </c>
      <c r="L283" s="28">
        <f t="shared" si="100"/>
        <v>-0.71813769284406115</v>
      </c>
      <c r="M283" s="57"/>
      <c r="N283" s="28" cm="1">
        <f t="array" aca="1" ref="N283" ca="1">L283-INDIRECT("L" &amp; (ROW(L283)-D283))</f>
        <v>-1.8432974461936147E-2</v>
      </c>
      <c r="O283" s="57">
        <f ca="1"/>
        <v>208.785812508118</v>
      </c>
      <c r="P283" s="57">
        <f ca="1"/>
        <v>8</v>
      </c>
      <c r="Q283" s="57">
        <f ca="1"/>
        <v>82.680519160223014</v>
      </c>
      <c r="R283">
        <f ca="1"/>
        <v>7</v>
      </c>
      <c r="T283">
        <f ca="1"/>
        <v>0.90949532384434495</v>
      </c>
      <c r="U283">
        <f ca="1"/>
        <v>3</v>
      </c>
    </row>
    <row r="284" spans="1:23" x14ac:dyDescent="0.4">
      <c r="B284" s="26">
        <v>8.7499999999999994E-2</v>
      </c>
      <c r="C284" s="55">
        <f t="shared" si="97"/>
        <v>126</v>
      </c>
      <c r="D284">
        <v>4</v>
      </c>
      <c r="E284" s="56" cm="1">
        <f t="array" aca="1" ref="E284" ca="1">C284-INDIRECT("C" &amp; (ROW(D284) - D284))</f>
        <v>59</v>
      </c>
      <c r="G284">
        <v>2</v>
      </c>
      <c r="H284">
        <v>217792</v>
      </c>
      <c r="I284" s="28">
        <f t="shared" si="98"/>
        <v>0.4299813430994146</v>
      </c>
      <c r="J284" s="28">
        <f t="shared" si="99"/>
        <v>0.42874389286271242</v>
      </c>
      <c r="L284" s="28">
        <f t="shared" si="100"/>
        <v>-0.84689552465541751</v>
      </c>
      <c r="M284" s="57"/>
      <c r="N284" s="28" cm="1">
        <f t="array" aca="1" ref="N284" ca="1">L284-INDIRECT("L" &amp; (ROW(L284)-D284))</f>
        <v>-0.14719080627329251</v>
      </c>
      <c r="O284" s="57">
        <f ca="1"/>
        <v>0.96532551836395109</v>
      </c>
      <c r="P284" s="57">
        <f ca="1"/>
        <v>3.6988165307503061E-2</v>
      </c>
      <c r="Q284" s="57">
        <f ca="1"/>
        <v>0.40764038882590642</v>
      </c>
      <c r="R284">
        <f ca="1"/>
        <v>3.4512152932321384E-2</v>
      </c>
      <c r="T284">
        <f ca="1"/>
        <v>4.2662898800640923E-3</v>
      </c>
      <c r="U284">
        <f ca="1"/>
        <v>1.407249636654837E-2</v>
      </c>
    </row>
    <row r="285" spans="1:23" x14ac:dyDescent="0.4">
      <c r="B285" s="26">
        <v>0.11041666666666666</v>
      </c>
      <c r="C285" s="55">
        <f t="shared" si="97"/>
        <v>159</v>
      </c>
      <c r="D285">
        <v>5</v>
      </c>
      <c r="E285" s="56" cm="1">
        <f t="array" aca="1" ref="E285" ca="1">C285-INDIRECT("C" &amp; (ROW(D285) - D285))</f>
        <v>92</v>
      </c>
      <c r="G285">
        <v>2</v>
      </c>
      <c r="H285">
        <v>193904</v>
      </c>
      <c r="I285" s="28">
        <f t="shared" si="98"/>
        <v>0.38281985725990347</v>
      </c>
      <c r="J285" s="28">
        <f t="shared" si="99"/>
        <v>0.38118609201614656</v>
      </c>
      <c r="L285" s="28">
        <f t="shared" si="100"/>
        <v>-0.96446759261020709</v>
      </c>
      <c r="M285" s="57"/>
      <c r="N285" s="28" cm="1">
        <f t="array" aca="1" ref="N285" ca="1">L285-INDIRECT("L" &amp; (ROW(L285)-D285))</f>
        <v>-0.26476287422808209</v>
      </c>
    </row>
    <row r="286" spans="1:23" x14ac:dyDescent="0.4">
      <c r="B286" s="26">
        <v>0.13472222222222222</v>
      </c>
      <c r="C286" s="55">
        <f t="shared" si="97"/>
        <v>194</v>
      </c>
      <c r="D286">
        <v>6</v>
      </c>
      <c r="E286" s="56" cm="1">
        <f t="array" aca="1" ref="E286" ca="1">C286-INDIRECT("C" &amp; (ROW(D286) - D286))</f>
        <v>127</v>
      </c>
      <c r="G286">
        <v>2</v>
      </c>
      <c r="H286">
        <v>178385</v>
      </c>
      <c r="I286" s="28">
        <f t="shared" si="98"/>
        <v>0.35218108052081382</v>
      </c>
      <c r="J286" s="28">
        <f t="shared" si="99"/>
        <v>0.3502898465649637</v>
      </c>
      <c r="L286" s="28">
        <f t="shared" si="100"/>
        <v>-1.0489943341688976</v>
      </c>
      <c r="M286" s="57"/>
      <c r="N286" s="28" cm="1">
        <f t="array" aca="1" ref="N286" ca="1">L286-INDIRECT("L" &amp; (ROW(L286)-D286))</f>
        <v>-0.34928961578677264</v>
      </c>
    </row>
    <row r="287" spans="1:23" x14ac:dyDescent="0.4">
      <c r="B287" s="26">
        <v>0.19236111111111112</v>
      </c>
      <c r="C287" s="55">
        <f t="shared" si="97"/>
        <v>277</v>
      </c>
      <c r="D287">
        <v>7</v>
      </c>
      <c r="E287" s="56" cm="1">
        <f t="array" aca="1" ref="E287" ca="1">C287-INDIRECT("C" &amp; (ROW(D287) - D287))</f>
        <v>210</v>
      </c>
      <c r="G287">
        <v>2</v>
      </c>
      <c r="H287">
        <v>133506</v>
      </c>
      <c r="I287" s="28">
        <f t="shared" si="98"/>
        <v>0.26357758407944482</v>
      </c>
      <c r="J287" s="28">
        <f t="shared" si="99"/>
        <v>0.26094178292660841</v>
      </c>
      <c r="L287" s="28">
        <f t="shared" si="100"/>
        <v>-1.3434579504607098</v>
      </c>
      <c r="N287" s="28" cm="1">
        <f t="array" aca="1" ref="N287" ca="1">L287-INDIRECT("L" &amp; (ROW(L287)-D287))</f>
        <v>-0.64375323207858481</v>
      </c>
    </row>
    <row r="288" spans="1:23" x14ac:dyDescent="0.4">
      <c r="B288" s="26">
        <v>0.22847222222222222</v>
      </c>
      <c r="C288" s="55">
        <f t="shared" si="97"/>
        <v>329</v>
      </c>
      <c r="D288">
        <v>8</v>
      </c>
      <c r="E288" s="56" cm="1">
        <f t="array" aca="1" ref="E288" ca="1">C288-INDIRECT("C" &amp; (ROW(D288) - D288))</f>
        <v>262</v>
      </c>
      <c r="G288">
        <v>2</v>
      </c>
      <c r="H288">
        <v>141050</v>
      </c>
      <c r="I288" s="28">
        <f t="shared" si="98"/>
        <v>0.27847151614463539</v>
      </c>
      <c r="J288" s="28">
        <f t="shared" si="99"/>
        <v>0.27596087408478381</v>
      </c>
      <c r="L288" s="28">
        <f t="shared" si="100"/>
        <v>-1.2874961838763428</v>
      </c>
      <c r="N288" s="28" cm="1">
        <f t="array" aca="1" ref="N288" ca="1">L288-INDIRECT("L" &amp; (ROW(L288)-D288))</f>
        <v>-0.58779146549421779</v>
      </c>
    </row>
    <row r="289" spans="1:23" x14ac:dyDescent="0.4">
      <c r="B289" s="26">
        <v>0.30069444444444443</v>
      </c>
      <c r="C289" s="55">
        <f t="shared" ref="C289" si="101">HOUR(B289)*60+MINUTE(B289)</f>
        <v>433</v>
      </c>
      <c r="D289">
        <v>9</v>
      </c>
      <c r="E289" s="56" cm="1">
        <f t="array" aca="1" ref="E289" ca="1">C289-INDIRECT("C" &amp; (ROW(D289) - D289))</f>
        <v>366</v>
      </c>
      <c r="G289">
        <v>2</v>
      </c>
      <c r="H289">
        <v>111081</v>
      </c>
      <c r="I289" s="28">
        <f t="shared" ref="I289" si="102">H289/506515</f>
        <v>0.21930446284907654</v>
      </c>
      <c r="J289" s="28">
        <f t="shared" si="99"/>
        <v>0.21629661866069083</v>
      </c>
      <c r="L289" s="28">
        <f t="shared" ref="L289" si="103">LN(J289)</f>
        <v>-1.531104578781973</v>
      </c>
      <c r="N289" s="28" cm="1">
        <f t="array" aca="1" ref="N289" ca="1">L289-INDIRECT("L" &amp; (ROW(L289)-D289))</f>
        <v>-0.83139986039984803</v>
      </c>
    </row>
    <row r="290" spans="1:23" x14ac:dyDescent="0.4">
      <c r="B290" s="26"/>
      <c r="C290" s="55"/>
      <c r="E290" s="56"/>
      <c r="L290" s="28"/>
      <c r="N290" s="28"/>
    </row>
    <row r="292" spans="1:23" s="20" customFormat="1" x14ac:dyDescent="0.4">
      <c r="A292" s="19" t="s">
        <v>163</v>
      </c>
      <c r="I292" s="30"/>
      <c r="J292" s="30"/>
    </row>
    <row r="293" spans="1:23" x14ac:dyDescent="0.4">
      <c r="B293" s="26">
        <v>4.7222222222222221E-2</v>
      </c>
      <c r="C293" s="55">
        <f t="shared" ref="C293:C302" si="104">HOUR(B293)*60+MINUTE(B293)</f>
        <v>68</v>
      </c>
      <c r="D293">
        <v>0</v>
      </c>
      <c r="E293" s="56" cm="1">
        <f t="array" aca="1" ref="E293" ca="1">C293-INDIRECT("C" &amp; (ROW(D293) - D293))</f>
        <v>0</v>
      </c>
      <c r="G293">
        <v>0</v>
      </c>
      <c r="H293">
        <v>230071</v>
      </c>
      <c r="I293" s="28">
        <f t="shared" ref="I293:I302" si="105">H293/506515</f>
        <v>0.45422346820923371</v>
      </c>
      <c r="J293" s="28">
        <f t="shared" ref="J293:J302" si="106">(I293*240-$C$325*2)/238</f>
        <v>0.45318973330958878</v>
      </c>
      <c r="L293" s="28">
        <f>LN(J293)</f>
        <v>-0.79144440385896231</v>
      </c>
      <c r="M293" s="57">
        <f ca="1">SLOPE(L293:L301, E293:E301)</f>
        <v>-1.8960930159136402E-3</v>
      </c>
      <c r="N293" s="28" cm="1">
        <f t="array" aca="1" ref="N293" ca="1">L293-INDIRECT("L" &amp; (ROW(L293)-D293))</f>
        <v>0</v>
      </c>
      <c r="O293" s="57" cm="1">
        <f t="array" aca="1" ref="O293:P297" ca="1">LINEST(_xlfn._xlws.FILTER(N293:N301,NOT(ISBLANK(N293:N301))),_xlfn._xlws.FILTER(E293:E301,NOT(ISBLANK(E293:E301))), FALSE, TRUE)</f>
        <v>-1.8700691154427687E-3</v>
      </c>
      <c r="P293" s="57">
        <f ca="1"/>
        <v>0</v>
      </c>
      <c r="Q293" s="57" cm="1">
        <f t="array" aca="1" ref="Q293:R297" ca="1">LINEST(_xlfn._xlws.FILTER(N293:N301, NOT(ISBLANK(N293:N301))),_xlfn._xlws.FILTER(E293:E301, NOT(ISBLANK(E293:E301))), TRUE, TRUE)</f>
        <v>-1.8960930159136391E-3</v>
      </c>
      <c r="R293" s="57">
        <f ca="1"/>
        <v>4.5177111306475837E-3</v>
      </c>
      <c r="S293">
        <f ca="1">ABS(O293)</f>
        <v>1.8700691154427687E-3</v>
      </c>
      <c r="T293" cm="1">
        <f t="array" aca="1" ref="T293:U297" ca="1">LINEST(_xlfn._xlws.FILTER(N293:N297, NOT(ISBLANK(N293:N297))),_xlfn._xlws.FILTER(E293:E297, NOT(ISBLANK(E293:E297))), TRUE, TRUE)</f>
        <v>-3.3351343253007638E-3</v>
      </c>
      <c r="U293">
        <f ca="1"/>
        <v>3.0406201082047057E-2</v>
      </c>
      <c r="V293">
        <f ca="1">ABS(S293)/(2*'characterization &amp; setup'!$B$324/100)</f>
        <v>4.341783474303583E-2</v>
      </c>
      <c r="W293">
        <f ca="1">ABS(T293)/(2*'characterization &amp; setup'!$B$324/100)</f>
        <v>7.7432598499146979E-2</v>
      </c>
    </row>
    <row r="294" spans="1:23" x14ac:dyDescent="0.4">
      <c r="B294" s="26">
        <v>5.486111111111111E-2</v>
      </c>
      <c r="C294" s="55">
        <f t="shared" si="104"/>
        <v>79</v>
      </c>
      <c r="D294">
        <v>1</v>
      </c>
      <c r="E294" s="56" cm="1">
        <f t="array" aca="1" ref="E294" ca="1">C294-INDIRECT("C" &amp; (ROW(D294) - D294))</f>
        <v>11</v>
      </c>
      <c r="G294">
        <v>2</v>
      </c>
      <c r="H294">
        <v>239544</v>
      </c>
      <c r="I294" s="28">
        <f t="shared" si="105"/>
        <v>0.4729257771240733</v>
      </c>
      <c r="J294" s="28">
        <f t="shared" si="106"/>
        <v>0.47204920448421694</v>
      </c>
      <c r="L294" s="28">
        <f t="shared" ref="L294:L302" si="107">LN(J294)</f>
        <v>-0.75067205204130527</v>
      </c>
      <c r="M294" s="57"/>
      <c r="N294" s="28" cm="1">
        <f t="array" aca="1" ref="N294" ca="1">L294-INDIRECT("L" &amp; (ROW(L294)-D294))</f>
        <v>4.0772351817657038E-2</v>
      </c>
      <c r="O294" s="57">
        <f ca="1"/>
        <v>1.2447601730122536E-4</v>
      </c>
      <c r="P294" s="57" t="e">
        <f ca="1"/>
        <v>#N/A</v>
      </c>
      <c r="Q294" s="57">
        <f ca="1"/>
        <v>1.928303252818806E-4</v>
      </c>
      <c r="R294">
        <f ca="1"/>
        <v>2.4280801708427953E-2</v>
      </c>
      <c r="T294">
        <f ca="1"/>
        <v>1.2076712295897532E-3</v>
      </c>
      <c r="U294">
        <f ca="1"/>
        <v>4.0466898695957251E-2</v>
      </c>
    </row>
    <row r="295" spans="1:23" x14ac:dyDescent="0.4">
      <c r="B295" s="26">
        <v>6.3194444444444442E-2</v>
      </c>
      <c r="C295" s="55">
        <f t="shared" si="104"/>
        <v>91</v>
      </c>
      <c r="D295">
        <v>2</v>
      </c>
      <c r="E295" s="56" cm="1">
        <f t="array" aca="1" ref="E295" ca="1">C295-INDIRECT("C" &amp; (ROW(D295) - D295))</f>
        <v>23</v>
      </c>
      <c r="G295">
        <v>2</v>
      </c>
      <c r="H295">
        <v>210718</v>
      </c>
      <c r="I295" s="28">
        <f t="shared" si="105"/>
        <v>0.41601532037550715</v>
      </c>
      <c r="J295" s="28">
        <f t="shared" si="106"/>
        <v>0.41466050860330989</v>
      </c>
      <c r="L295" s="28">
        <f t="shared" si="107"/>
        <v>-0.88029514509649853</v>
      </c>
      <c r="M295" s="57"/>
      <c r="N295" s="28" cm="1">
        <f t="array" aca="1" ref="N295" ca="1">L295-INDIRECT("L" &amp; (ROW(L295)-D295))</f>
        <v>-8.8850741237536224E-2</v>
      </c>
      <c r="O295" s="57">
        <f ca="1"/>
        <v>0.96576902173724588</v>
      </c>
      <c r="P295" s="57">
        <f ca="1"/>
        <v>4.7021299514914516E-2</v>
      </c>
      <c r="Q295" s="57">
        <f ca="1"/>
        <v>0.9324892019131491</v>
      </c>
      <c r="R295">
        <f ca="1"/>
        <v>5.0144042115707194E-2</v>
      </c>
      <c r="T295">
        <f ca="1"/>
        <v>0.71768875541507271</v>
      </c>
      <c r="U295">
        <f ca="1"/>
        <v>5.5725881738738575E-2</v>
      </c>
    </row>
    <row r="296" spans="1:23" x14ac:dyDescent="0.4">
      <c r="B296" s="26">
        <v>7.4999999999999997E-2</v>
      </c>
      <c r="C296" s="55">
        <f t="shared" si="104"/>
        <v>108</v>
      </c>
      <c r="D296">
        <v>3</v>
      </c>
      <c r="E296" s="56" cm="1">
        <f t="array" aca="1" ref="E296" ca="1">C296-INDIRECT("C" &amp; (ROW(D296) - D296))</f>
        <v>40</v>
      </c>
      <c r="G296">
        <v>2</v>
      </c>
      <c r="H296">
        <v>220022</v>
      </c>
      <c r="I296" s="28">
        <f t="shared" si="105"/>
        <v>0.43438397678252372</v>
      </c>
      <c r="J296" s="28">
        <f t="shared" si="106"/>
        <v>0.43318352346752831</v>
      </c>
      <c r="L296" s="28">
        <f t="shared" si="107"/>
        <v>-0.83659379904878661</v>
      </c>
      <c r="M296" s="57"/>
      <c r="N296" s="28" cm="1">
        <f t="array" aca="1" ref="N296" ca="1">L296-INDIRECT("L" &amp; (ROW(L296)-D296))</f>
        <v>-4.5149395189824304E-2</v>
      </c>
      <c r="O296" s="57">
        <f ca="1"/>
        <v>225.70643802793685</v>
      </c>
      <c r="P296" s="57">
        <f ca="1"/>
        <v>8</v>
      </c>
      <c r="Q296" s="57">
        <f ca="1"/>
        <v>96.687116703829815</v>
      </c>
      <c r="R296">
        <f ca="1"/>
        <v>7</v>
      </c>
      <c r="T296">
        <f ca="1"/>
        <v>7.6265692831711283</v>
      </c>
      <c r="U296">
        <f ca="1"/>
        <v>3</v>
      </c>
    </row>
    <row r="297" spans="1:23" x14ac:dyDescent="0.4">
      <c r="B297" s="26">
        <v>8.7499999999999994E-2</v>
      </c>
      <c r="C297" s="55">
        <f t="shared" si="104"/>
        <v>126</v>
      </c>
      <c r="D297">
        <v>4</v>
      </c>
      <c r="E297" s="56" cm="1">
        <f t="array" aca="1" ref="E297" ca="1">C297-INDIRECT("C" &amp; (ROW(D297) - D297))</f>
        <v>58</v>
      </c>
      <c r="G297">
        <v>2</v>
      </c>
      <c r="H297">
        <v>189746</v>
      </c>
      <c r="I297" s="28">
        <f t="shared" si="105"/>
        <v>0.3746108210023395</v>
      </c>
      <c r="J297" s="28">
        <f t="shared" si="106"/>
        <v>0.37290807226061984</v>
      </c>
      <c r="L297" s="28">
        <f t="shared" si="107"/>
        <v>-0.98642334477872429</v>
      </c>
      <c r="M297" s="57"/>
      <c r="N297" s="28" cm="1">
        <f t="array" aca="1" ref="N297" ca="1">L297-INDIRECT("L" &amp; (ROW(L297)-D297))</f>
        <v>-0.19497894091976198</v>
      </c>
      <c r="O297" s="57">
        <f ca="1"/>
        <v>0.49903752313825162</v>
      </c>
      <c r="P297" s="57">
        <f ca="1"/>
        <v>1.76880208645704E-2</v>
      </c>
      <c r="Q297" s="57">
        <f ca="1"/>
        <v>0.24311249952171216</v>
      </c>
      <c r="R297">
        <f ca="1"/>
        <v>1.7600974717912721E-2</v>
      </c>
      <c r="T297">
        <f ca="1"/>
        <v>2.3683349164638427E-2</v>
      </c>
      <c r="U297">
        <f ca="1"/>
        <v>9.3161216866796317E-3</v>
      </c>
    </row>
    <row r="298" spans="1:23" x14ac:dyDescent="0.4">
      <c r="B298" s="26">
        <v>0.1111111111111111</v>
      </c>
      <c r="C298" s="55">
        <f t="shared" si="104"/>
        <v>160</v>
      </c>
      <c r="D298">
        <v>5</v>
      </c>
      <c r="E298" s="56" cm="1">
        <f t="array" aca="1" ref="E298" ca="1">C298-INDIRECT("C" &amp; (ROW(D298) - D298))</f>
        <v>92</v>
      </c>
      <c r="G298">
        <v>2</v>
      </c>
      <c r="H298">
        <v>202770</v>
      </c>
      <c r="I298" s="28">
        <f t="shared" si="105"/>
        <v>0.40032378113185196</v>
      </c>
      <c r="J298" s="28">
        <f t="shared" si="106"/>
        <v>0.39883710768533831</v>
      </c>
      <c r="L298" s="28">
        <f t="shared" si="107"/>
        <v>-0.91920219686476268</v>
      </c>
      <c r="M298" s="57"/>
      <c r="N298" s="28" cm="1">
        <f t="array" aca="1" ref="N298" ca="1">L298-INDIRECT("L" &amp; (ROW(L298)-D298))</f>
        <v>-0.12775779300580037</v>
      </c>
    </row>
    <row r="299" spans="1:23" x14ac:dyDescent="0.4">
      <c r="B299" s="26">
        <v>0.13472222222222222</v>
      </c>
      <c r="C299" s="55">
        <f t="shared" si="104"/>
        <v>194</v>
      </c>
      <c r="D299">
        <v>6</v>
      </c>
      <c r="E299" s="56" cm="1">
        <f t="array" aca="1" ref="E299" ca="1">C299-INDIRECT("C" &amp; (ROW(D299) - D299))</f>
        <v>126</v>
      </c>
      <c r="G299">
        <v>2</v>
      </c>
      <c r="H299">
        <v>186605</v>
      </c>
      <c r="I299" s="28">
        <f t="shared" si="105"/>
        <v>0.36840962261729665</v>
      </c>
      <c r="J299" s="28">
        <f t="shared" si="106"/>
        <v>0.36665476296477828</v>
      </c>
      <c r="L299" s="28">
        <f t="shared" si="107"/>
        <v>-1.0033345740322865</v>
      </c>
      <c r="M299" s="57"/>
      <c r="N299" s="28" cm="1">
        <f t="array" aca="1" ref="N299" ca="1">L299-INDIRECT("L" &amp; (ROW(L299)-D299))</f>
        <v>-0.21189017017332423</v>
      </c>
    </row>
    <row r="300" spans="1:23" x14ac:dyDescent="0.4">
      <c r="B300" s="26">
        <v>0.19305555555555556</v>
      </c>
      <c r="C300" s="55">
        <f t="shared" si="104"/>
        <v>278</v>
      </c>
      <c r="D300">
        <v>7</v>
      </c>
      <c r="E300" s="56" cm="1">
        <f t="array" aca="1" ref="E300" ca="1">C300-INDIRECT("C" &amp; (ROW(D300) - D300))</f>
        <v>210</v>
      </c>
      <c r="G300">
        <v>2</v>
      </c>
      <c r="H300">
        <v>158869</v>
      </c>
      <c r="I300" s="28">
        <f t="shared" si="105"/>
        <v>0.31365112583042948</v>
      </c>
      <c r="J300" s="28">
        <f t="shared" si="106"/>
        <v>0.31143611074272737</v>
      </c>
      <c r="L300" s="28">
        <f t="shared" si="107"/>
        <v>-1.1665610637404213</v>
      </c>
      <c r="N300" s="28" cm="1">
        <f t="array" aca="1" ref="N300" ca="1">L300-INDIRECT("L" &amp; (ROW(L300)-D300))</f>
        <v>-0.37511665988145904</v>
      </c>
    </row>
    <row r="301" spans="1:23" x14ac:dyDescent="0.4">
      <c r="B301" s="26">
        <v>0.22916666666666666</v>
      </c>
      <c r="C301" s="55">
        <f t="shared" si="104"/>
        <v>330</v>
      </c>
      <c r="D301">
        <v>8</v>
      </c>
      <c r="E301" s="56" cm="1">
        <f t="array" aca="1" ref="E301" ca="1">C301-INDIRECT("C" &amp; (ROW(D301) - D301))</f>
        <v>262</v>
      </c>
      <c r="G301">
        <v>2</v>
      </c>
      <c r="H301">
        <v>138454</v>
      </c>
      <c r="I301" s="28">
        <f t="shared" si="105"/>
        <v>0.27334629774044206</v>
      </c>
      <c r="J301" s="28">
        <f t="shared" si="106"/>
        <v>0.2707925866183703</v>
      </c>
      <c r="L301" s="28">
        <f t="shared" si="107"/>
        <v>-1.306402114174096</v>
      </c>
      <c r="N301" s="28" cm="1">
        <f t="array" aca="1" ref="N301" ca="1">L301-INDIRECT("L" &amp; (ROW(L301)-D301))</f>
        <v>-0.51495771031513371</v>
      </c>
    </row>
    <row r="302" spans="1:23" x14ac:dyDescent="0.4">
      <c r="B302" s="26">
        <v>0.30138888888888887</v>
      </c>
      <c r="C302" s="55">
        <f t="shared" si="104"/>
        <v>434</v>
      </c>
      <c r="D302">
        <v>9</v>
      </c>
      <c r="E302" s="56" cm="1">
        <f t="array" aca="1" ref="E302" ca="1">C302-INDIRECT("C" &amp; (ROW(D302) - D302))</f>
        <v>366</v>
      </c>
      <c r="G302">
        <v>2</v>
      </c>
      <c r="H302">
        <v>117161</v>
      </c>
      <c r="I302" s="28">
        <f t="shared" si="105"/>
        <v>0.23130805602993001</v>
      </c>
      <c r="J302" s="28">
        <f t="shared" si="106"/>
        <v>0.22840108237247586</v>
      </c>
      <c r="L302" s="28">
        <f t="shared" si="107"/>
        <v>-1.4766520622777284</v>
      </c>
      <c r="N302" s="28" cm="1">
        <f t="array" aca="1" ref="N302" ca="1">L302-INDIRECT("L" &amp; (ROW(L302)-D302))</f>
        <v>-0.68520765841876607</v>
      </c>
    </row>
    <row r="303" spans="1:23" x14ac:dyDescent="0.4">
      <c r="B303" s="26"/>
      <c r="C303" s="55"/>
      <c r="E303" s="56"/>
      <c r="L303" s="28"/>
      <c r="N303" s="28"/>
    </row>
    <row r="305" spans="1:23" s="20" customFormat="1" x14ac:dyDescent="0.4">
      <c r="A305" s="19" t="s">
        <v>164</v>
      </c>
      <c r="I305" s="30"/>
      <c r="J305" s="30"/>
    </row>
    <row r="306" spans="1:23" x14ac:dyDescent="0.4">
      <c r="B306" s="26">
        <v>0.05</v>
      </c>
      <c r="C306" s="55">
        <f t="shared" ref="C306:C315" si="108">HOUR(B306)*60+MINUTE(B306)</f>
        <v>72</v>
      </c>
      <c r="D306">
        <v>0</v>
      </c>
      <c r="E306" s="56" cm="1">
        <f t="array" aca="1" ref="E306" ca="1">C306-INDIRECT("C" &amp; (ROW(D306) - D306))</f>
        <v>0</v>
      </c>
      <c r="G306">
        <v>0</v>
      </c>
      <c r="H306">
        <v>197287</v>
      </c>
      <c r="I306" s="28">
        <f t="shared" ref="I306:I315" si="109">H306/506515</f>
        <v>0.38949883024194742</v>
      </c>
      <c r="J306" s="28">
        <f t="shared" ref="J306:J315" si="110">(I306*240-$C$325*2)/238</f>
        <v>0.38792119082156901</v>
      </c>
      <c r="L306" s="28">
        <f>LN(J306)</f>
        <v>-0.94695307642905635</v>
      </c>
      <c r="M306" s="57">
        <f ca="1">SLOPE(L306:L314, E306:E314)</f>
        <v>-2.0047807416782191E-3</v>
      </c>
      <c r="N306" s="28" cm="1">
        <f t="array" aca="1" ref="N306" ca="1">L306-INDIRECT("L" &amp; (ROW(L306)-D306))</f>
        <v>0</v>
      </c>
      <c r="O306" s="57" cm="1">
        <f t="array" aca="1" ref="O306:P310" ca="1">LINEST(_xlfn._xlws.FILTER(N306:N314,NOT(ISBLANK(N306:N314))),_xlfn._xlws.FILTER(E306:E314,NOT(ISBLANK(E306:E314))), FALSE, TRUE)</f>
        <v>-1.474587943222915E-3</v>
      </c>
      <c r="P306" s="57">
        <f ca="1"/>
        <v>0</v>
      </c>
      <c r="Q306" s="57" cm="1">
        <f t="array" aca="1" ref="Q306:R310" ca="1">LINEST(_xlfn._xlws.FILTER(N306:N314, NOT(ISBLANK(N306:N314))),_xlfn._xlws.FILTER(E306:E314, NOT(ISBLANK(E306:E314))), TRUE, TRUE)</f>
        <v>-2.0047807416782191E-3</v>
      </c>
      <c r="R306" s="57">
        <f ca="1"/>
        <v>9.1602703432739824E-2</v>
      </c>
      <c r="S306">
        <f ca="1">ABS(O306)</f>
        <v>1.474587943222915E-3</v>
      </c>
      <c r="T306" cm="1">
        <f t="array" aca="1" ref="T306:U310" ca="1">LINEST(_xlfn._xlws.FILTER(N306:N310, NOT(ISBLANK(N306:N310))),_xlfn._xlws.FILTER(E306:E310, NOT(ISBLANK(E306:E310))), TRUE, TRUE)</f>
        <v>-2.4331047685663453E-4</v>
      </c>
      <c r="U306">
        <f ca="1"/>
        <v>5.6273174409983258E-2</v>
      </c>
      <c r="V306">
        <f ca="1">ABS(S306)/(2*'characterization &amp; setup'!$B$324/100)</f>
        <v>3.423585529766212E-2</v>
      </c>
      <c r="W306">
        <f ca="1">ABS(T306)/(2*'characterization &amp; setup'!$B$324/100)</f>
        <v>5.6489966002723933E-3</v>
      </c>
    </row>
    <row r="307" spans="1:23" x14ac:dyDescent="0.4">
      <c r="B307" s="26">
        <v>5.486111111111111E-2</v>
      </c>
      <c r="C307" s="55">
        <f t="shared" si="108"/>
        <v>79</v>
      </c>
      <c r="D307">
        <v>1</v>
      </c>
      <c r="E307" s="56" cm="1">
        <f t="array" aca="1" ref="E307" ca="1">C307-INDIRECT("C" &amp; (ROW(D307) - D307))</f>
        <v>7</v>
      </c>
      <c r="G307">
        <v>2</v>
      </c>
      <c r="H307">
        <v>209579</v>
      </c>
      <c r="I307" s="28">
        <f t="shared" si="109"/>
        <v>0.41376662092929134</v>
      </c>
      <c r="J307" s="28">
        <f t="shared" si="110"/>
        <v>0.41239291252309235</v>
      </c>
      <c r="L307" s="28">
        <f t="shared" ref="L307:L315" si="111">LN(J307)</f>
        <v>-0.88577871291549803</v>
      </c>
      <c r="M307" s="57"/>
      <c r="N307" s="28" cm="1">
        <f t="array" aca="1" ref="N307" ca="1">L307-INDIRECT("L" &amp; (ROW(L307)-D307))</f>
        <v>6.1174363513558316E-2</v>
      </c>
      <c r="O307" s="57">
        <f ca="1"/>
        <v>2.3165426412512764E-4</v>
      </c>
      <c r="P307" s="57" t="e">
        <f ca="1"/>
        <v>#N/A</v>
      </c>
      <c r="Q307" s="57">
        <f ca="1"/>
        <v>2.1421702651316333E-4</v>
      </c>
      <c r="R307">
        <f ca="1"/>
        <v>2.6397220915354652E-2</v>
      </c>
      <c r="T307">
        <f ca="1"/>
        <v>1.6199988583363472E-3</v>
      </c>
      <c r="U307">
        <f ca="1"/>
        <v>4.9254359610643915E-2</v>
      </c>
    </row>
    <row r="308" spans="1:23" x14ac:dyDescent="0.4">
      <c r="B308" s="26">
        <v>6.3194444444444442E-2</v>
      </c>
      <c r="C308" s="55">
        <f t="shared" si="108"/>
        <v>91</v>
      </c>
      <c r="D308">
        <v>2</v>
      </c>
      <c r="E308" s="56" cm="1">
        <f t="array" aca="1" ref="E308" ca="1">C308-INDIRECT("C" &amp; (ROW(D308) - D308))</f>
        <v>19</v>
      </c>
      <c r="G308">
        <v>2</v>
      </c>
      <c r="H308">
        <v>229257</v>
      </c>
      <c r="I308" s="28">
        <f t="shared" si="109"/>
        <v>0.45261640820113913</v>
      </c>
      <c r="J308" s="28">
        <f t="shared" si="110"/>
        <v>0.4515691685955438</v>
      </c>
      <c r="L308" s="28">
        <f t="shared" si="111"/>
        <v>-0.79502672052628698</v>
      </c>
      <c r="M308" s="57"/>
      <c r="N308" s="28" cm="1">
        <f t="array" aca="1" ref="N308" ca="1">L308-INDIRECT("L" &amp; (ROW(L308)-D308))</f>
        <v>0.15192635590276937</v>
      </c>
      <c r="O308" s="57">
        <f ca="1"/>
        <v>0.83511678723159732</v>
      </c>
      <c r="P308" s="57">
        <f ca="1"/>
        <v>8.5637853614579304E-2</v>
      </c>
      <c r="Q308" s="57">
        <f ca="1"/>
        <v>0.92599187113931081</v>
      </c>
      <c r="R308">
        <f ca="1"/>
        <v>5.5507797892557928E-2</v>
      </c>
      <c r="T308">
        <f ca="1"/>
        <v>7.463071838802327E-3</v>
      </c>
      <c r="U308">
        <f ca="1"/>
        <v>7.1184158195431169E-2</v>
      </c>
    </row>
    <row r="309" spans="1:23" x14ac:dyDescent="0.4">
      <c r="B309" s="26">
        <v>7.4999999999999997E-2</v>
      </c>
      <c r="C309" s="55">
        <f t="shared" si="108"/>
        <v>108</v>
      </c>
      <c r="D309">
        <v>3</v>
      </c>
      <c r="E309" s="56" cm="1">
        <f t="array" aca="1" ref="E309" ca="1">C309-INDIRECT("C" &amp; (ROW(D309) - D309))</f>
        <v>36</v>
      </c>
      <c r="G309">
        <v>2</v>
      </c>
      <c r="H309">
        <v>198089</v>
      </c>
      <c r="I309" s="28">
        <f t="shared" si="109"/>
        <v>0.39108219894771135</v>
      </c>
      <c r="J309" s="28">
        <f t="shared" si="110"/>
        <v>0.38951786514670911</v>
      </c>
      <c r="L309" s="28">
        <f t="shared" si="111"/>
        <v>-0.94284554785101971</v>
      </c>
      <c r="M309" s="57"/>
      <c r="N309" s="28" cm="1">
        <f t="array" aca="1" ref="N309" ca="1">L309-INDIRECT("L" &amp; (ROW(L309)-D309))</f>
        <v>4.1075285780366455E-3</v>
      </c>
      <c r="O309" s="57">
        <f ca="1"/>
        <v>40.519190435941574</v>
      </c>
      <c r="P309" s="57">
        <f ca="1"/>
        <v>8</v>
      </c>
      <c r="Q309" s="57">
        <f ca="1"/>
        <v>87.584204569968165</v>
      </c>
      <c r="R309">
        <f ca="1"/>
        <v>7</v>
      </c>
      <c r="T309">
        <f ca="1"/>
        <v>2.2557564238829767E-2</v>
      </c>
      <c r="U309">
        <f ca="1"/>
        <v>3</v>
      </c>
    </row>
    <row r="310" spans="1:23" x14ac:dyDescent="0.4">
      <c r="B310" s="26">
        <v>8.7499999999999994E-2</v>
      </c>
      <c r="C310" s="55">
        <f t="shared" si="108"/>
        <v>126</v>
      </c>
      <c r="D310">
        <v>4</v>
      </c>
      <c r="E310" s="56" cm="1">
        <f t="array" aca="1" ref="E310" ca="1">C310-INDIRECT("C" &amp; (ROW(D310) - D310))</f>
        <v>54</v>
      </c>
      <c r="G310">
        <v>2</v>
      </c>
      <c r="H310">
        <v>204416</v>
      </c>
      <c r="I310" s="28">
        <f t="shared" si="109"/>
        <v>0.40357343810153695</v>
      </c>
      <c r="J310" s="28">
        <f t="shared" si="110"/>
        <v>0.40211407269678534</v>
      </c>
      <c r="L310" s="28">
        <f t="shared" si="111"/>
        <v>-0.91101946768887399</v>
      </c>
      <c r="M310" s="57"/>
      <c r="N310" s="28" cm="1">
        <f t="array" aca="1" ref="N310" ca="1">L310-INDIRECT("L" &amp; (ROW(L310)-D310))</f>
        <v>3.5933608740182366E-2</v>
      </c>
      <c r="O310" s="57">
        <f ca="1"/>
        <v>0.29716133947890438</v>
      </c>
      <c r="P310" s="57">
        <f ca="1"/>
        <v>5.8670735773696914E-2</v>
      </c>
      <c r="Q310" s="57">
        <f ca="1"/>
        <v>0.26985706136847631</v>
      </c>
      <c r="R310">
        <f ca="1"/>
        <v>2.1567809388167408E-2</v>
      </c>
      <c r="T310">
        <f ca="1"/>
        <v>1.1430333711655305E-4</v>
      </c>
      <c r="U310">
        <f ca="1"/>
        <v>1.5201553133976514E-2</v>
      </c>
    </row>
    <row r="311" spans="1:23" x14ac:dyDescent="0.4">
      <c r="B311" s="26">
        <v>0.1111111111111111</v>
      </c>
      <c r="C311" s="55">
        <f t="shared" si="108"/>
        <v>160</v>
      </c>
      <c r="D311">
        <v>5</v>
      </c>
      <c r="E311" s="56" cm="1">
        <f t="array" aca="1" ref="E311" ca="1">C311-INDIRECT("C" &amp; (ROW(D311) - D311))</f>
        <v>88</v>
      </c>
      <c r="G311">
        <v>2</v>
      </c>
      <c r="H311">
        <v>179423</v>
      </c>
      <c r="I311" s="28">
        <f t="shared" si="109"/>
        <v>0.35423037817241343</v>
      </c>
      <c r="J311" s="28">
        <f t="shared" si="110"/>
        <v>0.35235636520523222</v>
      </c>
      <c r="L311" s="28">
        <f t="shared" si="111"/>
        <v>-1.0431122143652312</v>
      </c>
      <c r="M311" s="57"/>
      <c r="N311" s="28" cm="1">
        <f t="array" aca="1" ref="N311" ca="1">L311-INDIRECT("L" &amp; (ROW(L311)-D311))</f>
        <v>-9.615913793617481E-2</v>
      </c>
    </row>
    <row r="312" spans="1:23" x14ac:dyDescent="0.4">
      <c r="B312" s="26">
        <v>0.13472222222222222</v>
      </c>
      <c r="C312" s="55">
        <f t="shared" si="108"/>
        <v>194</v>
      </c>
      <c r="D312">
        <v>6</v>
      </c>
      <c r="E312" s="56" cm="1">
        <f t="array" aca="1" ref="E312" ca="1">C312-INDIRECT("C" &amp; (ROW(D312) - D312))</f>
        <v>122</v>
      </c>
      <c r="G312">
        <v>2</v>
      </c>
      <c r="H312">
        <v>168613</v>
      </c>
      <c r="I312" s="28">
        <f t="shared" si="109"/>
        <v>0.33288846332290256</v>
      </c>
      <c r="J312" s="28">
        <f t="shared" si="110"/>
        <v>0.33083510653345655</v>
      </c>
      <c r="L312" s="28">
        <f t="shared" si="111"/>
        <v>-1.1061351953044039</v>
      </c>
      <c r="M312" s="57"/>
      <c r="N312" s="28" cm="1">
        <f t="array" aca="1" ref="N312" ca="1">L312-INDIRECT("L" &amp; (ROW(L312)-D312))</f>
        <v>-0.1591821188753475</v>
      </c>
    </row>
    <row r="313" spans="1:23" x14ac:dyDescent="0.4">
      <c r="B313" s="26">
        <v>0.19375000000000001</v>
      </c>
      <c r="C313" s="55">
        <f t="shared" si="108"/>
        <v>279</v>
      </c>
      <c r="D313">
        <v>7</v>
      </c>
      <c r="E313" s="56" cm="1">
        <f t="array" aca="1" ref="E313" ca="1">C313-INDIRECT("C" &amp; (ROW(D313) - D313))</f>
        <v>207</v>
      </c>
      <c r="G313">
        <v>2</v>
      </c>
      <c r="H313">
        <v>142546</v>
      </c>
      <c r="I313" s="28">
        <f t="shared" si="109"/>
        <v>0.28142503183518752</v>
      </c>
      <c r="J313" s="28">
        <f t="shared" si="110"/>
        <v>0.27893920923492038</v>
      </c>
      <c r="L313" s="28">
        <f t="shared" si="111"/>
        <v>-1.2767614089487009</v>
      </c>
      <c r="N313" s="28" cm="1">
        <f t="array" aca="1" ref="N313" ca="1">L313-INDIRECT("L" &amp; (ROW(L313)-D313))</f>
        <v>-0.32980833251964459</v>
      </c>
    </row>
    <row r="314" spans="1:23" x14ac:dyDescent="0.4">
      <c r="B314" s="26">
        <v>0.22916666666666666</v>
      </c>
      <c r="C314" s="55">
        <f t="shared" si="108"/>
        <v>330</v>
      </c>
      <c r="D314">
        <v>8</v>
      </c>
      <c r="E314" s="56" cm="1">
        <f t="array" aca="1" ref="E314" ca="1">C314-INDIRECT("C" &amp; (ROW(D314) - D314))</f>
        <v>258</v>
      </c>
      <c r="G314">
        <v>2</v>
      </c>
      <c r="H314">
        <v>129271</v>
      </c>
      <c r="I314" s="28">
        <f t="shared" si="109"/>
        <v>0.25521652863192601</v>
      </c>
      <c r="J314" s="28">
        <f t="shared" si="110"/>
        <v>0.25251046650894243</v>
      </c>
      <c r="L314" s="28">
        <f t="shared" si="111"/>
        <v>-1.376302579605249</v>
      </c>
      <c r="N314" s="28" cm="1">
        <f t="array" aca="1" ref="N314" ca="1">L314-INDIRECT("L" &amp; (ROW(L314)-D314))</f>
        <v>-0.42934950317619269</v>
      </c>
    </row>
    <row r="315" spans="1:23" x14ac:dyDescent="0.4">
      <c r="B315" s="26">
        <v>0.30138888888888887</v>
      </c>
      <c r="C315" s="55">
        <f t="shared" si="108"/>
        <v>434</v>
      </c>
      <c r="D315">
        <v>9</v>
      </c>
      <c r="E315" s="56" cm="1">
        <f t="array" aca="1" ref="E315" ca="1">C315-INDIRECT("C" &amp; (ROW(D315) - D315))</f>
        <v>362</v>
      </c>
      <c r="G315">
        <v>2</v>
      </c>
      <c r="H315">
        <v>82793</v>
      </c>
      <c r="I315" s="28">
        <f t="shared" si="109"/>
        <v>0.16345616615500033</v>
      </c>
      <c r="J315" s="28">
        <f t="shared" si="110"/>
        <v>0.15997900854901734</v>
      </c>
      <c r="L315" s="28">
        <f t="shared" si="111"/>
        <v>-1.8327126689239743</v>
      </c>
      <c r="N315" s="28" cm="1">
        <f t="array" aca="1" ref="N315" ca="1">L315-INDIRECT("L" &amp; (ROW(L315)-D315))</f>
        <v>-0.88575959249491798</v>
      </c>
    </row>
    <row r="317" spans="1:23" s="120" customFormat="1" x14ac:dyDescent="0.4">
      <c r="I317" s="121"/>
      <c r="J317" s="121"/>
    </row>
    <row r="318" spans="1:23" s="1" customFormat="1" x14ac:dyDescent="0.4">
      <c r="A318" s="15" t="s">
        <v>50</v>
      </c>
      <c r="E318" s="14" t="s">
        <v>48</v>
      </c>
      <c r="F318" s="8">
        <v>506515</v>
      </c>
      <c r="I318" s="12"/>
      <c r="J318" s="12"/>
      <c r="O318" s="1" t="s">
        <v>51</v>
      </c>
      <c r="P318" s="62" t="s">
        <v>52</v>
      </c>
    </row>
    <row r="319" spans="1:23" s="1" customFormat="1" x14ac:dyDescent="0.4">
      <c r="A319" s="15" t="s">
        <v>53</v>
      </c>
      <c r="B319" s="1" t="s">
        <v>54</v>
      </c>
      <c r="C319" s="1" t="s">
        <v>55</v>
      </c>
      <c r="E319" s="1" t="s">
        <v>140</v>
      </c>
      <c r="I319" s="12"/>
      <c r="J319" s="12"/>
      <c r="O319" s="33" t="s">
        <v>56</v>
      </c>
      <c r="P319" s="1" t="s">
        <v>57</v>
      </c>
    </row>
    <row r="320" spans="1:23" s="1" customFormat="1" x14ac:dyDescent="0.4">
      <c r="A320" s="15">
        <v>2</v>
      </c>
      <c r="B320" s="1">
        <v>275855</v>
      </c>
      <c r="C320" s="12">
        <f>B320/459299</f>
        <v>0.60060004485095764</v>
      </c>
      <c r="I320" s="12"/>
      <c r="J320" s="12"/>
      <c r="O320" s="1" t="s">
        <v>58</v>
      </c>
      <c r="P320" s="1" t="s">
        <v>59</v>
      </c>
    </row>
    <row r="321" spans="1:16" s="1" customFormat="1" x14ac:dyDescent="0.4">
      <c r="A321" s="15">
        <v>2</v>
      </c>
      <c r="B321" s="1">
        <v>261956</v>
      </c>
      <c r="C321" s="12">
        <f t="shared" ref="C321:C324" si="112">B321/459299</f>
        <v>0.57033871181953366</v>
      </c>
      <c r="I321" s="12"/>
      <c r="J321" s="12"/>
      <c r="O321" s="63" t="s">
        <v>60</v>
      </c>
      <c r="P321" s="1" t="s">
        <v>61</v>
      </c>
    </row>
    <row r="322" spans="1:16" s="1" customFormat="1" x14ac:dyDescent="0.4">
      <c r="A322" s="15">
        <v>2</v>
      </c>
      <c r="B322" s="1">
        <v>258333</v>
      </c>
      <c r="C322" s="12">
        <f t="shared" si="112"/>
        <v>0.56245060407272818</v>
      </c>
      <c r="I322" s="12"/>
      <c r="J322" s="12"/>
      <c r="O322" s="1" t="s">
        <v>62</v>
      </c>
      <c r="P322" s="1" t="s">
        <v>63</v>
      </c>
    </row>
    <row r="323" spans="1:16" s="1" customFormat="1" x14ac:dyDescent="0.4">
      <c r="A323" s="15">
        <v>2</v>
      </c>
      <c r="B323" s="1">
        <v>269714</v>
      </c>
      <c r="C323" s="12">
        <f t="shared" si="112"/>
        <v>0.58722966956165812</v>
      </c>
      <c r="I323" s="12"/>
      <c r="J323" s="12"/>
      <c r="O323" s="1" t="s">
        <v>64</v>
      </c>
      <c r="P323" s="1" t="s">
        <v>65</v>
      </c>
    </row>
    <row r="324" spans="1:16" s="1" customFormat="1" x14ac:dyDescent="0.4">
      <c r="A324" s="15">
        <v>2</v>
      </c>
      <c r="B324" s="1">
        <v>259766</v>
      </c>
      <c r="C324" s="12">
        <f t="shared" si="112"/>
        <v>0.5655705760299935</v>
      </c>
      <c r="I324" s="12"/>
      <c r="J324" s="12"/>
    </row>
    <row r="325" spans="1:16" x14ac:dyDescent="0.4">
      <c r="A325" t="s">
        <v>38</v>
      </c>
      <c r="B325">
        <f>AVERAGE(B320:B324)</f>
        <v>265124.8</v>
      </c>
      <c r="C325" s="28">
        <f>AVERAGE(C320:C324)</f>
        <v>0.57723792126697426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C752-C10C-624E-ABEE-827867750901}">
  <sheetPr>
    <pageSetUpPr fitToPage="1"/>
  </sheetPr>
  <dimension ref="A1:O25"/>
  <sheetViews>
    <sheetView tabSelected="1" topLeftCell="A3" zoomScale="74" zoomScaleNormal="150" workbookViewId="0">
      <selection activeCell="A26" sqref="A26"/>
    </sheetView>
  </sheetViews>
  <sheetFormatPr defaultColWidth="10.83203125" defaultRowHeight="16" x14ac:dyDescent="0.4"/>
  <cols>
    <col min="1" max="1" width="19.1640625" style="50" customWidth="1"/>
    <col min="2" max="2" width="12.83203125" style="50" customWidth="1"/>
    <col min="3" max="16384" width="10.83203125" style="50"/>
  </cols>
  <sheetData>
    <row r="1" spans="1:15" s="94" customFormat="1" ht="96" x14ac:dyDescent="0.4">
      <c r="A1" s="91" t="s">
        <v>90</v>
      </c>
      <c r="B1" s="92" t="s">
        <v>91</v>
      </c>
      <c r="C1" s="92" t="s">
        <v>92</v>
      </c>
      <c r="D1" s="91" t="s">
        <v>93</v>
      </c>
      <c r="E1" s="92" t="s">
        <v>94</v>
      </c>
      <c r="F1" s="93" t="s">
        <v>95</v>
      </c>
      <c r="G1" s="92" t="s">
        <v>97</v>
      </c>
      <c r="H1" s="92" t="s">
        <v>99</v>
      </c>
      <c r="I1" s="92" t="s">
        <v>96</v>
      </c>
      <c r="J1" s="92" t="s">
        <v>98</v>
      </c>
      <c r="K1" s="92" t="s">
        <v>100</v>
      </c>
      <c r="L1" s="92" t="s">
        <v>101</v>
      </c>
      <c r="M1" s="92" t="s">
        <v>102</v>
      </c>
      <c r="N1" s="92" t="s">
        <v>103</v>
      </c>
      <c r="O1" s="91" t="s">
        <v>104</v>
      </c>
    </row>
    <row r="2" spans="1:15" x14ac:dyDescent="0.4">
      <c r="A2" s="95" t="s">
        <v>153</v>
      </c>
      <c r="B2" s="95">
        <v>10.1708</v>
      </c>
      <c r="C2" s="95">
        <v>11.401</v>
      </c>
      <c r="D2" s="95">
        <f>C2-B2</f>
        <v>1.2302</v>
      </c>
      <c r="E2" s="95">
        <v>11.3156</v>
      </c>
      <c r="F2" s="96">
        <f>C2-E2</f>
        <v>8.539999999999992E-2</v>
      </c>
      <c r="G2" s="75">
        <v>1.0666893694671162</v>
      </c>
      <c r="H2" s="97">
        <f>'characterization &amp; setup'!$C$5</f>
        <v>51.645994131137066</v>
      </c>
      <c r="I2" s="99">
        <f>F2/(D2-F2)</f>
        <v>7.4598183088749048E-2</v>
      </c>
      <c r="J2" s="96">
        <f t="shared" ref="J2:J25" si="0">I2*G2</f>
        <v>7.9573088882330209E-2</v>
      </c>
      <c r="K2" s="97">
        <f>100*I2*G2/(0.01*H2)</f>
        <v>15.407407722713595</v>
      </c>
      <c r="L2" s="95">
        <v>-2.37</v>
      </c>
      <c r="M2" s="95"/>
      <c r="N2" s="101">
        <v>45856</v>
      </c>
      <c r="O2" s="98"/>
    </row>
    <row r="3" spans="1:15" x14ac:dyDescent="0.4">
      <c r="A3" s="95" t="s">
        <v>152</v>
      </c>
      <c r="B3" s="95">
        <v>10.534700000000001</v>
      </c>
      <c r="C3" s="95">
        <v>11.567</v>
      </c>
      <c r="D3" s="95">
        <f t="shared" ref="D3:D4" si="1">C3-B3</f>
        <v>1.0322999999999993</v>
      </c>
      <c r="E3" s="95">
        <v>11.495799999999999</v>
      </c>
      <c r="F3" s="96">
        <f t="shared" ref="F3:F4" si="2">C3-E3</f>
        <v>7.120000000000104E-2</v>
      </c>
      <c r="G3" s="75">
        <v>1.06668936946712</v>
      </c>
      <c r="H3" s="97">
        <f>'characterization &amp; setup'!$C$5</f>
        <v>51.645994131137066</v>
      </c>
      <c r="I3" s="99">
        <f t="shared" ref="I3:I25" si="3">F3/(D3-F3)</f>
        <v>7.4081781292270485E-2</v>
      </c>
      <c r="J3" s="96">
        <f t="shared" si="0"/>
        <v>7.9022248575653084E-2</v>
      </c>
      <c r="K3" s="97">
        <f t="shared" ref="K3:K25" si="4">100*I3*G3/(0.01*H3)</f>
        <v>15.300750794921971</v>
      </c>
      <c r="L3" s="95">
        <v>-2.2000000000000002</v>
      </c>
      <c r="M3" s="95"/>
      <c r="N3" s="101">
        <v>45856</v>
      </c>
      <c r="O3" s="98"/>
    </row>
    <row r="4" spans="1:15" x14ac:dyDescent="0.4">
      <c r="A4" s="95" t="s">
        <v>151</v>
      </c>
      <c r="B4" s="95">
        <v>10.1564</v>
      </c>
      <c r="C4" s="95">
        <v>11.078900000000001</v>
      </c>
      <c r="D4" s="95">
        <f t="shared" si="1"/>
        <v>0.92250000000000121</v>
      </c>
      <c r="E4" s="95">
        <v>11.019299999999999</v>
      </c>
      <c r="F4" s="96">
        <f t="shared" si="2"/>
        <v>5.960000000000143E-2</v>
      </c>
      <c r="G4" s="75">
        <v>1.06668936946712</v>
      </c>
      <c r="H4" s="97">
        <f>'characterization &amp; setup'!$C$5</f>
        <v>51.645994131137066</v>
      </c>
      <c r="I4" s="99">
        <f t="shared" si="3"/>
        <v>6.9069417081934689E-2</v>
      </c>
      <c r="J4" s="96">
        <f t="shared" si="0"/>
        <v>7.3675612956590447E-2</v>
      </c>
      <c r="K4" s="97">
        <f t="shared" si="4"/>
        <v>14.265503878096879</v>
      </c>
      <c r="L4" s="95">
        <v>-2.35</v>
      </c>
      <c r="M4" s="95"/>
      <c r="N4" s="101">
        <v>45856</v>
      </c>
      <c r="O4" s="98"/>
    </row>
    <row r="5" spans="1:15" x14ac:dyDescent="0.4">
      <c r="A5" s="95" t="s">
        <v>150</v>
      </c>
      <c r="B5" s="95">
        <v>10.0252</v>
      </c>
      <c r="C5" s="95">
        <v>10.9664</v>
      </c>
      <c r="D5" s="95">
        <f>C5-B5</f>
        <v>0.94120000000000026</v>
      </c>
      <c r="E5" s="95">
        <v>10.9009</v>
      </c>
      <c r="F5" s="96">
        <f>C5-E5</f>
        <v>6.5500000000000114E-2</v>
      </c>
      <c r="G5" s="99">
        <f>'characterization &amp; setup'!$C$50</f>
        <v>1.0945960734642177</v>
      </c>
      <c r="H5" s="97">
        <f>'characterization &amp; setup'!$C$52</f>
        <v>48.513825330939895</v>
      </c>
      <c r="I5" s="99">
        <f t="shared" si="3"/>
        <v>7.4797305013132462E-2</v>
      </c>
      <c r="J5" s="96">
        <f t="shared" si="0"/>
        <v>8.1872836373080238E-2</v>
      </c>
      <c r="K5" s="97">
        <f t="shared" si="4"/>
        <v>16.876186492114339</v>
      </c>
      <c r="L5" s="95">
        <v>-2.25</v>
      </c>
      <c r="M5" s="95"/>
      <c r="N5" s="101">
        <v>45856</v>
      </c>
      <c r="O5" s="95"/>
    </row>
    <row r="6" spans="1:15" x14ac:dyDescent="0.4">
      <c r="A6" s="95" t="s">
        <v>149</v>
      </c>
      <c r="B6" s="95">
        <v>10.696899999999999</v>
      </c>
      <c r="C6" s="95">
        <v>11.718500000000001</v>
      </c>
      <c r="D6" s="95">
        <f t="shared" ref="D6:D7" si="5">C6-B6</f>
        <v>1.0216000000000012</v>
      </c>
      <c r="E6" s="95">
        <v>11.6462</v>
      </c>
      <c r="F6" s="96">
        <f t="shared" ref="F6:F7" si="6">C6-E6</f>
        <v>7.2300000000000253E-2</v>
      </c>
      <c r="G6" s="99">
        <f>'characterization &amp; setup'!$C$50</f>
        <v>1.0945960734642177</v>
      </c>
      <c r="H6" s="97">
        <f>'characterization &amp; setup'!$C$52</f>
        <v>48.513825330939895</v>
      </c>
      <c r="I6" s="99">
        <f t="shared" si="3"/>
        <v>7.6161382070999872E-2</v>
      </c>
      <c r="J6" s="96">
        <f t="shared" si="0"/>
        <v>8.3365949764524536E-2</v>
      </c>
      <c r="K6" s="97">
        <f t="shared" si="4"/>
        <v>17.183957190726318</v>
      </c>
      <c r="L6" s="95">
        <v>-2.33</v>
      </c>
      <c r="M6" s="95"/>
      <c r="N6" s="101">
        <v>45856</v>
      </c>
      <c r="O6" s="95"/>
    </row>
    <row r="7" spans="1:15" x14ac:dyDescent="0.4">
      <c r="A7" s="95" t="s">
        <v>148</v>
      </c>
      <c r="B7" s="95">
        <v>9.7591999999999999</v>
      </c>
      <c r="C7" s="95">
        <v>10.4886</v>
      </c>
      <c r="D7" s="95">
        <f t="shared" si="5"/>
        <v>0.72940000000000005</v>
      </c>
      <c r="E7" s="95">
        <v>10.4391</v>
      </c>
      <c r="F7" s="96">
        <f t="shared" si="6"/>
        <v>4.9500000000000099E-2</v>
      </c>
      <c r="G7" s="99">
        <f>'characterization &amp; setup'!$C$50</f>
        <v>1.0945960734642177</v>
      </c>
      <c r="H7" s="97">
        <f>'characterization &amp; setup'!$C$52</f>
        <v>48.513825330939895</v>
      </c>
      <c r="I7" s="99">
        <f t="shared" si="3"/>
        <v>7.2804824238858812E-2</v>
      </c>
      <c r="J7" s="96">
        <f t="shared" si="0"/>
        <v>7.9691874741107366E-2</v>
      </c>
      <c r="K7" s="97">
        <f t="shared" si="4"/>
        <v>16.426631830717241</v>
      </c>
      <c r="L7" s="95">
        <v>-2.4900000000000002</v>
      </c>
      <c r="M7" s="95"/>
      <c r="N7" s="101">
        <v>45856</v>
      </c>
      <c r="O7" s="95"/>
    </row>
    <row r="8" spans="1:15" x14ac:dyDescent="0.4">
      <c r="A8" s="95" t="s">
        <v>147</v>
      </c>
      <c r="B8" s="95">
        <v>10.4381</v>
      </c>
      <c r="C8" s="95">
        <v>11.2354</v>
      </c>
      <c r="D8" s="95">
        <f>C8-B8</f>
        <v>0.7972999999999999</v>
      </c>
      <c r="E8" s="95">
        <v>11.194100000000001</v>
      </c>
      <c r="F8" s="96">
        <f>C8-E8</f>
        <v>4.129999999999967E-2</v>
      </c>
      <c r="G8" s="99">
        <f>'characterization &amp; setup'!$C$93</f>
        <v>1.0082587724960621</v>
      </c>
      <c r="H8" s="97">
        <f>'characterization &amp; setup'!$C$95</f>
        <v>53.952376119105679</v>
      </c>
      <c r="I8" s="99">
        <f t="shared" si="3"/>
        <v>5.4629629629629174E-2</v>
      </c>
      <c r="J8" s="96">
        <f t="shared" si="0"/>
        <v>5.5080803312284418E-2</v>
      </c>
      <c r="K8" s="97">
        <f t="shared" si="4"/>
        <v>10.209152455248237</v>
      </c>
      <c r="L8" s="95">
        <v>-3.51</v>
      </c>
      <c r="M8" s="95"/>
      <c r="N8" s="101">
        <v>45860</v>
      </c>
      <c r="O8" s="95"/>
    </row>
    <row r="9" spans="1:15" x14ac:dyDescent="0.4">
      <c r="A9" s="95" t="s">
        <v>146</v>
      </c>
      <c r="B9" s="95">
        <v>10.101599999999999</v>
      </c>
      <c r="C9" s="95">
        <v>10.671799999999999</v>
      </c>
      <c r="D9" s="95">
        <f t="shared" ref="D9:D10" si="7">C9-B9</f>
        <v>0.57019999999999982</v>
      </c>
      <c r="E9" s="95">
        <v>10.638299999999999</v>
      </c>
      <c r="F9" s="96">
        <f t="shared" ref="F9:F10" si="8">C9-E9</f>
        <v>3.3500000000000085E-2</v>
      </c>
      <c r="G9" s="99">
        <f>'characterization &amp; setup'!$C$93</f>
        <v>1.0082587724960621</v>
      </c>
      <c r="H9" s="97">
        <f>'characterization &amp; setup'!$C$95</f>
        <v>53.952376119105679</v>
      </c>
      <c r="I9" s="99">
        <f t="shared" si="3"/>
        <v>6.2418483324017331E-2</v>
      </c>
      <c r="J9" s="96">
        <f t="shared" si="0"/>
        <v>6.2933983377339631E-2</v>
      </c>
      <c r="K9" s="97">
        <f t="shared" si="4"/>
        <v>11.664728767164227</v>
      </c>
      <c r="L9" s="95">
        <v>-3.33</v>
      </c>
      <c r="M9" s="95"/>
      <c r="N9" s="101">
        <v>45860</v>
      </c>
      <c r="O9" s="95"/>
    </row>
    <row r="10" spans="1:15" x14ac:dyDescent="0.4">
      <c r="A10" s="95" t="s">
        <v>145</v>
      </c>
      <c r="B10" s="95">
        <v>10.5869</v>
      </c>
      <c r="C10" s="95">
        <v>11.198399999999999</v>
      </c>
      <c r="D10" s="95">
        <f t="shared" si="7"/>
        <v>0.61149999999999949</v>
      </c>
      <c r="E10" s="95">
        <v>11.1648</v>
      </c>
      <c r="F10" s="96">
        <f t="shared" si="8"/>
        <v>3.3599999999999852E-2</v>
      </c>
      <c r="G10" s="99">
        <f>'characterization &amp; setup'!$C$93</f>
        <v>1.0082587724960621</v>
      </c>
      <c r="H10" s="97">
        <f>'characterization &amp; setup'!$C$95</f>
        <v>53.952376119105679</v>
      </c>
      <c r="I10" s="99">
        <f t="shared" si="3"/>
        <v>5.8141546980446226E-2</v>
      </c>
      <c r="J10" s="96">
        <f t="shared" si="0"/>
        <v>5.862172478952684E-2</v>
      </c>
      <c r="K10" s="97">
        <f t="shared" si="4"/>
        <v>10.865457465694016</v>
      </c>
      <c r="L10" s="95">
        <v>-3.32</v>
      </c>
      <c r="M10" s="95"/>
      <c r="N10" s="101">
        <v>45860</v>
      </c>
      <c r="O10" s="95"/>
    </row>
    <row r="11" spans="1:15" x14ac:dyDescent="0.4">
      <c r="A11" s="95" t="s">
        <v>144</v>
      </c>
      <c r="B11" s="95">
        <v>10.2897</v>
      </c>
      <c r="C11" s="95">
        <v>10.9095</v>
      </c>
      <c r="D11" s="95">
        <f>C11-B11</f>
        <v>0.61979999999999968</v>
      </c>
      <c r="E11" s="95">
        <v>10.8726</v>
      </c>
      <c r="F11" s="96">
        <f>C11-E11</f>
        <v>3.6899999999999267E-2</v>
      </c>
      <c r="G11" s="99">
        <f>'characterization &amp; setup'!$C$135</f>
        <v>1.1623208513201486</v>
      </c>
      <c r="H11" s="97">
        <f>'characterization &amp; setup'!$C$137</f>
        <v>47.525017999090359</v>
      </c>
      <c r="I11" s="99">
        <f t="shared" si="3"/>
        <v>6.330416881111553E-2</v>
      </c>
      <c r="J11" s="96">
        <f t="shared" si="0"/>
        <v>7.3579755384650197E-2</v>
      </c>
      <c r="K11" s="97">
        <f t="shared" si="4"/>
        <v>15.4823203614691</v>
      </c>
      <c r="L11" s="95">
        <v>-2.63</v>
      </c>
      <c r="M11" s="95"/>
      <c r="N11" s="101">
        <v>45860</v>
      </c>
      <c r="O11" s="95"/>
    </row>
    <row r="12" spans="1:15" x14ac:dyDescent="0.4">
      <c r="A12" s="95" t="s">
        <v>143</v>
      </c>
      <c r="B12" s="95">
        <v>10.510999999999999</v>
      </c>
      <c r="C12" s="95">
        <v>11.358499999999999</v>
      </c>
      <c r="D12" s="95">
        <f t="shared" ref="D12:D13" si="9">C12-B12</f>
        <v>0.84750000000000014</v>
      </c>
      <c r="E12" s="95">
        <v>11.312099999999999</v>
      </c>
      <c r="F12" s="96">
        <f t="shared" ref="F12:F13" si="10">C12-E12</f>
        <v>4.6400000000000219E-2</v>
      </c>
      <c r="G12" s="99">
        <f>'characterization &amp; setup'!$C$135</f>
        <v>1.1623208513201486</v>
      </c>
      <c r="H12" s="97">
        <f>'characterization &amp; setup'!$C$137</f>
        <v>47.525017999090359</v>
      </c>
      <c r="I12" s="99">
        <f t="shared" si="3"/>
        <v>5.7920359505679968E-2</v>
      </c>
      <c r="J12" s="96">
        <f t="shared" si="0"/>
        <v>6.7322041569411004E-2</v>
      </c>
      <c r="K12" s="97">
        <f t="shared" si="4"/>
        <v>14.165600436111264</v>
      </c>
      <c r="L12" s="95">
        <v>-3.24</v>
      </c>
      <c r="M12" s="95"/>
      <c r="N12" s="101">
        <v>45860</v>
      </c>
      <c r="O12" s="95"/>
    </row>
    <row r="13" spans="1:15" x14ac:dyDescent="0.4">
      <c r="A13" s="95" t="s">
        <v>142</v>
      </c>
      <c r="B13" s="95">
        <v>10.725300000000001</v>
      </c>
      <c r="C13" s="95">
        <v>11.602499999999999</v>
      </c>
      <c r="D13" s="95">
        <f t="shared" si="9"/>
        <v>0.87719999999999843</v>
      </c>
      <c r="E13" s="95">
        <v>11.553000000000001</v>
      </c>
      <c r="F13" s="96">
        <f t="shared" si="10"/>
        <v>4.9499999999998323E-2</v>
      </c>
      <c r="G13" s="99">
        <f>'characterization &amp; setup'!$C$135</f>
        <v>1.1623208513201486</v>
      </c>
      <c r="H13" s="97">
        <f>'characterization &amp; setup'!$C$137</f>
        <v>47.525017999090359</v>
      </c>
      <c r="I13" s="99">
        <f t="shared" si="3"/>
        <v>5.9804276911922576E-2</v>
      </c>
      <c r="J13" s="96">
        <f t="shared" si="0"/>
        <v>6.9511758052851758E-2</v>
      </c>
      <c r="K13" s="97">
        <f t="shared" si="4"/>
        <v>14.626350705260592</v>
      </c>
      <c r="L13" s="95">
        <v>-3.22</v>
      </c>
      <c r="M13" s="95"/>
      <c r="N13" s="101">
        <v>45860</v>
      </c>
      <c r="O13" s="95"/>
    </row>
    <row r="14" spans="1:15" x14ac:dyDescent="0.4">
      <c r="A14" s="95" t="s">
        <v>141</v>
      </c>
      <c r="B14" s="95">
        <v>9.8859999999999992</v>
      </c>
      <c r="C14" s="95">
        <v>10.683999999999999</v>
      </c>
      <c r="D14" s="95">
        <f>C14-B14</f>
        <v>0.79800000000000004</v>
      </c>
      <c r="E14" s="95">
        <v>10.6051</v>
      </c>
      <c r="F14" s="96">
        <f>C14-E14</f>
        <v>7.8899999999999082E-2</v>
      </c>
      <c r="G14" s="99">
        <f>'characterization &amp; setup'!$C$178</f>
        <v>0.76650690696893797</v>
      </c>
      <c r="H14" s="97">
        <f>'characterization &amp; setup'!$C$180</f>
        <v>61.626688011567559</v>
      </c>
      <c r="I14" s="99">
        <f>F14/(D14-F14)</f>
        <v>0.10972048393825473</v>
      </c>
      <c r="J14" s="96">
        <f t="shared" si="0"/>
        <v>8.4101508774646672E-2</v>
      </c>
      <c r="K14" s="97">
        <f t="shared" si="4"/>
        <v>13.646929842937606</v>
      </c>
      <c r="L14" s="95">
        <v>-2.5499999999999998</v>
      </c>
      <c r="M14" s="95"/>
      <c r="N14" s="101">
        <v>45862</v>
      </c>
      <c r="O14" s="95"/>
    </row>
    <row r="15" spans="1:15" x14ac:dyDescent="0.4">
      <c r="A15" s="95" t="s">
        <v>154</v>
      </c>
      <c r="B15" s="95">
        <v>10.2531</v>
      </c>
      <c r="C15" s="95">
        <v>10.977399999999999</v>
      </c>
      <c r="D15" s="95">
        <f t="shared" ref="D15:D16" si="11">C15-B15</f>
        <v>0.7242999999999995</v>
      </c>
      <c r="E15" s="95">
        <v>10.9107</v>
      </c>
      <c r="F15" s="96">
        <f t="shared" ref="F15:F16" si="12">C15-E15</f>
        <v>6.6699999999999093E-2</v>
      </c>
      <c r="G15" s="99">
        <f>'characterization &amp; setup'!$C$178</f>
        <v>0.76650690696893797</v>
      </c>
      <c r="H15" s="97">
        <f>'characterization &amp; setup'!$C$180</f>
        <v>61.626688011567559</v>
      </c>
      <c r="I15" s="99">
        <f>F15/(D15-F15)</f>
        <v>0.10142944038929297</v>
      </c>
      <c r="J15" s="96">
        <f t="shared" si="0"/>
        <v>7.7746366628387228E-2</v>
      </c>
      <c r="K15" s="97">
        <f t="shared" si="4"/>
        <v>12.615697701261171</v>
      </c>
      <c r="L15" s="95">
        <v>-3.42</v>
      </c>
      <c r="M15" s="95"/>
      <c r="N15" s="101">
        <v>45862</v>
      </c>
      <c r="O15" s="95"/>
    </row>
    <row r="16" spans="1:15" x14ac:dyDescent="0.4">
      <c r="A16" s="95" t="s">
        <v>155</v>
      </c>
      <c r="B16" s="95">
        <v>10.378299999999999</v>
      </c>
      <c r="C16" s="95">
        <v>11.123100000000001</v>
      </c>
      <c r="D16" s="95">
        <f t="shared" si="11"/>
        <v>0.74480000000000146</v>
      </c>
      <c r="E16" s="95">
        <v>11.057700000000001</v>
      </c>
      <c r="F16" s="96">
        <f t="shared" si="12"/>
        <v>6.5400000000000347E-2</v>
      </c>
      <c r="G16" s="99">
        <f>'characterization &amp; setup'!$C$178</f>
        <v>0.76650690696893797</v>
      </c>
      <c r="H16" s="97">
        <f>'characterization &amp; setup'!$C$180</f>
        <v>61.626688011567559</v>
      </c>
      <c r="I16" s="99">
        <f>F16/(D16-F16)</f>
        <v>9.6261407123933232E-2</v>
      </c>
      <c r="J16" s="96">
        <f t="shared" si="0"/>
        <v>7.3785033435043751E-2</v>
      </c>
      <c r="K16" s="97">
        <f t="shared" si="4"/>
        <v>11.972902619915907</v>
      </c>
      <c r="L16" s="95">
        <v>-4</v>
      </c>
      <c r="M16" s="95"/>
      <c r="N16" s="101">
        <v>45862</v>
      </c>
      <c r="O16" s="95"/>
    </row>
    <row r="17" spans="1:15" x14ac:dyDescent="0.4">
      <c r="A17" s="95" t="s">
        <v>156</v>
      </c>
      <c r="B17" s="95">
        <v>10.481999999999999</v>
      </c>
      <c r="C17" s="95">
        <v>11.343400000000001</v>
      </c>
      <c r="D17" s="95">
        <f>C17-B17</f>
        <v>0.8614000000000015</v>
      </c>
      <c r="E17" s="95">
        <v>11.286799999999999</v>
      </c>
      <c r="F17" s="96">
        <f>C17-E17</f>
        <v>5.6600000000001316E-2</v>
      </c>
      <c r="G17" s="99">
        <f>'characterization &amp; setup'!$C$221</f>
        <v>1.1015441043878984</v>
      </c>
      <c r="H17" s="97">
        <f>'characterization &amp; setup'!$C$223</f>
        <v>51.215938689641341</v>
      </c>
      <c r="I17" s="99">
        <f t="shared" si="3"/>
        <v>7.0328031809146749E-2</v>
      </c>
      <c r="J17" s="96">
        <f t="shared" si="0"/>
        <v>7.7469428812570185E-2</v>
      </c>
      <c r="K17" s="97">
        <f t="shared" si="4"/>
        <v>15.126039040701745</v>
      </c>
      <c r="L17" s="95">
        <v>-1.74</v>
      </c>
      <c r="M17" s="95"/>
      <c r="N17" s="101">
        <v>45862</v>
      </c>
      <c r="O17" s="95"/>
    </row>
    <row r="18" spans="1:15" x14ac:dyDescent="0.4">
      <c r="A18" s="95" t="s">
        <v>157</v>
      </c>
      <c r="B18" s="95">
        <v>10.0108</v>
      </c>
      <c r="C18" s="95">
        <v>10.502800000000001</v>
      </c>
      <c r="D18" s="95">
        <f t="shared" ref="D18:D19" si="13">C18-B18</f>
        <v>0.49200000000000088</v>
      </c>
      <c r="E18" s="95">
        <v>10.4718</v>
      </c>
      <c r="F18" s="96">
        <f t="shared" ref="F18:F19" si="14">C18-E18</f>
        <v>3.1000000000000583E-2</v>
      </c>
      <c r="G18" s="99">
        <f>'characterization &amp; setup'!$C$221</f>
        <v>1.1015441043878984</v>
      </c>
      <c r="H18" s="97">
        <f>'characterization &amp; setup'!$C$223</f>
        <v>51.215938689641341</v>
      </c>
      <c r="I18" s="99">
        <f t="shared" si="3"/>
        <v>6.7245119305858053E-2</v>
      </c>
      <c r="J18" s="96">
        <f t="shared" si="0"/>
        <v>7.4073464720228785E-2</v>
      </c>
      <c r="K18" s="97">
        <f t="shared" si="4"/>
        <v>14.46297121860826</v>
      </c>
      <c r="L18" s="95">
        <v>-1.83</v>
      </c>
      <c r="M18" s="95"/>
      <c r="N18" s="101">
        <v>45862</v>
      </c>
      <c r="O18" s="95"/>
    </row>
    <row r="19" spans="1:15" x14ac:dyDescent="0.4">
      <c r="A19" s="95" t="s">
        <v>158</v>
      </c>
      <c r="B19" s="95">
        <v>10.854699999999999</v>
      </c>
      <c r="C19" s="95">
        <v>11.707700000000001</v>
      </c>
      <c r="D19" s="95">
        <f t="shared" si="13"/>
        <v>0.85300000000000153</v>
      </c>
      <c r="E19" s="95">
        <v>11.6485</v>
      </c>
      <c r="F19" s="96">
        <f t="shared" si="14"/>
        <v>5.9200000000000585E-2</v>
      </c>
      <c r="G19" s="99">
        <f>'characterization &amp; setup'!$C$221</f>
        <v>1.1015441043878984</v>
      </c>
      <c r="H19" s="97">
        <f>'characterization &amp; setup'!$C$223</f>
        <v>51.215938689641341</v>
      </c>
      <c r="I19" s="99">
        <f t="shared" si="3"/>
        <v>7.4577979339884748E-2</v>
      </c>
      <c r="J19" s="96">
        <f t="shared" si="0"/>
        <v>8.2150933459012532E-2</v>
      </c>
      <c r="K19" s="97">
        <f t="shared" si="4"/>
        <v>16.040110864086916</v>
      </c>
      <c r="L19" s="95">
        <v>-1.57</v>
      </c>
      <c r="M19" s="95"/>
      <c r="N19" s="101">
        <v>45862</v>
      </c>
      <c r="O19" s="95"/>
    </row>
    <row r="20" spans="1:15" x14ac:dyDescent="0.4">
      <c r="A20" s="95" t="s">
        <v>159</v>
      </c>
      <c r="B20" s="95">
        <v>9.7683</v>
      </c>
      <c r="C20" s="95">
        <v>10.598100000000001</v>
      </c>
      <c r="D20" s="95">
        <f>C20-B20</f>
        <v>0.82980000000000054</v>
      </c>
      <c r="E20" s="95">
        <v>10.5099</v>
      </c>
      <c r="F20" s="96">
        <f>C20-E20</f>
        <v>8.82000000000005E-2</v>
      </c>
      <c r="G20" s="99">
        <f>'characterization &amp; setup'!$C$268</f>
        <v>1.3765271569777184</v>
      </c>
      <c r="H20" s="97">
        <f>'characterization &amp; setup'!$C$270</f>
        <v>42.52496213036666</v>
      </c>
      <c r="I20" s="99">
        <f t="shared" si="3"/>
        <v>0.11893203883495213</v>
      </c>
      <c r="J20" s="96">
        <f t="shared" si="0"/>
        <v>0.16371318129104026</v>
      </c>
      <c r="K20" s="97">
        <f t="shared" si="4"/>
        <v>38.498136879970147</v>
      </c>
      <c r="L20" s="95">
        <v>-0.15</v>
      </c>
      <c r="M20" s="95"/>
      <c r="N20" s="101">
        <v>45868</v>
      </c>
      <c r="O20" s="95"/>
    </row>
    <row r="21" spans="1:15" x14ac:dyDescent="0.4">
      <c r="A21" s="95" t="s">
        <v>160</v>
      </c>
      <c r="B21" s="95">
        <v>10.7095</v>
      </c>
      <c r="C21" s="95">
        <v>11.29</v>
      </c>
      <c r="D21" s="95">
        <f t="shared" ref="D21:D22" si="15">C21-B21</f>
        <v>0.58049999999999891</v>
      </c>
      <c r="E21" s="95">
        <v>11.233599999999999</v>
      </c>
      <c r="F21" s="96">
        <f t="shared" ref="F21:F22" si="16">C21-E21</f>
        <v>5.6400000000000006E-2</v>
      </c>
      <c r="G21" s="99">
        <f>'characterization &amp; setup'!$C$268</f>
        <v>1.3765271569777184</v>
      </c>
      <c r="H21" s="97">
        <f>'characterization &amp; setup'!$C$270</f>
        <v>42.52496213036666</v>
      </c>
      <c r="I21" s="99">
        <f t="shared" si="3"/>
        <v>0.10761305094447648</v>
      </c>
      <c r="J21" s="96">
        <f t="shared" si="0"/>
        <v>0.1481322870702986</v>
      </c>
      <c r="K21" s="97">
        <f t="shared" si="4"/>
        <v>34.834196116665971</v>
      </c>
      <c r="L21" s="95">
        <v>-0.3</v>
      </c>
      <c r="M21" s="95"/>
      <c r="N21" s="101">
        <v>45868</v>
      </c>
      <c r="O21" s="95"/>
    </row>
    <row r="22" spans="1:15" x14ac:dyDescent="0.4">
      <c r="A22" s="95" t="s">
        <v>161</v>
      </c>
      <c r="B22" s="95">
        <v>9.8777000000000008</v>
      </c>
      <c r="C22" s="95">
        <v>10.4628</v>
      </c>
      <c r="D22" s="95">
        <f t="shared" si="15"/>
        <v>0.58509999999999884</v>
      </c>
      <c r="E22" s="95">
        <v>10.407</v>
      </c>
      <c r="F22" s="96">
        <f t="shared" si="16"/>
        <v>5.5799999999999628E-2</v>
      </c>
      <c r="G22" s="99">
        <f>'characterization &amp; setup'!$C$268</f>
        <v>1.3765271569777184</v>
      </c>
      <c r="H22" s="97">
        <f>'characterization &amp; setup'!$C$270</f>
        <v>42.52496213036666</v>
      </c>
      <c r="I22" s="99">
        <f t="shared" si="3"/>
        <v>0.10542225580955925</v>
      </c>
      <c r="J22" s="96">
        <f t="shared" si="0"/>
        <v>0.14511659807171035</v>
      </c>
      <c r="K22" s="97">
        <f t="shared" si="4"/>
        <v>34.125038754140128</v>
      </c>
      <c r="L22" s="95">
        <v>-0.28999999999999998</v>
      </c>
      <c r="M22" s="95"/>
      <c r="N22" s="101">
        <v>45868</v>
      </c>
      <c r="O22" s="95"/>
    </row>
    <row r="23" spans="1:15" x14ac:dyDescent="0.4">
      <c r="A23" s="95" t="s">
        <v>162</v>
      </c>
      <c r="B23" s="95">
        <v>10.8019</v>
      </c>
      <c r="C23" s="95">
        <v>11.603400000000001</v>
      </c>
      <c r="D23" s="95">
        <f>C23-B23</f>
        <v>0.80150000000000077</v>
      </c>
      <c r="E23" s="95">
        <v>11.523999999999999</v>
      </c>
      <c r="F23" s="96">
        <f>C23-E23</f>
        <v>7.9400000000001469E-2</v>
      </c>
      <c r="G23" s="99">
        <f>'characterization &amp; setup'!$C$315</f>
        <v>1.2980779325255163</v>
      </c>
      <c r="H23" s="97">
        <f>'characterization &amp; setup'!$C$317</f>
        <v>44.668459824146787</v>
      </c>
      <c r="I23" s="99">
        <f t="shared" si="3"/>
        <v>0.10995706965794426</v>
      </c>
      <c r="J23" s="96">
        <f t="shared" si="0"/>
        <v>0.14273284564814845</v>
      </c>
      <c r="K23" s="97">
        <f t="shared" si="4"/>
        <v>31.953831900644627</v>
      </c>
      <c r="L23" s="95">
        <v>-0.44</v>
      </c>
      <c r="M23" s="95"/>
      <c r="N23" s="101">
        <v>45868</v>
      </c>
      <c r="O23" s="95"/>
    </row>
    <row r="24" spans="1:15" x14ac:dyDescent="0.4">
      <c r="A24" s="95" t="s">
        <v>163</v>
      </c>
      <c r="B24" s="95">
        <v>10.5115</v>
      </c>
      <c r="C24" s="95">
        <v>11.352499999999999</v>
      </c>
      <c r="D24" s="95">
        <f t="shared" ref="D24:D25" si="17">C24-B24</f>
        <v>0.8409999999999993</v>
      </c>
      <c r="E24" s="95">
        <v>11.272500000000001</v>
      </c>
      <c r="F24" s="96">
        <f t="shared" ref="F24:F25" si="18">C24-E24</f>
        <v>7.9999999999998295E-2</v>
      </c>
      <c r="G24" s="99">
        <f>'characterization &amp; setup'!$C$315</f>
        <v>1.2980779325255163</v>
      </c>
      <c r="H24" s="97">
        <f>'characterization &amp; setup'!$C$317</f>
        <v>44.668459824146787</v>
      </c>
      <c r="I24" s="99">
        <f t="shared" si="3"/>
        <v>0.10512483574244177</v>
      </c>
      <c r="J24" s="96">
        <f t="shared" si="0"/>
        <v>0.13646022943763331</v>
      </c>
      <c r="K24" s="97">
        <f t="shared" si="4"/>
        <v>30.549571213079055</v>
      </c>
      <c r="L24" s="95">
        <v>-0.79</v>
      </c>
      <c r="M24" s="95"/>
      <c r="N24" s="101">
        <v>45868</v>
      </c>
      <c r="O24" s="95"/>
    </row>
    <row r="25" spans="1:15" x14ac:dyDescent="0.4">
      <c r="A25" s="95" t="s">
        <v>164</v>
      </c>
      <c r="B25" s="95">
        <v>10.342000000000001</v>
      </c>
      <c r="C25" s="95">
        <v>10.988099999999999</v>
      </c>
      <c r="D25" s="95">
        <f t="shared" si="17"/>
        <v>0.64609999999999879</v>
      </c>
      <c r="E25" s="95">
        <v>10.936199999999999</v>
      </c>
      <c r="F25" s="96">
        <f t="shared" si="18"/>
        <v>5.1899999999999835E-2</v>
      </c>
      <c r="G25" s="99">
        <f>'characterization &amp; setup'!$C$315</f>
        <v>1.2980779325255163</v>
      </c>
      <c r="H25" s="97">
        <f>'characterization &amp; setup'!$C$317</f>
        <v>44.668459824146787</v>
      </c>
      <c r="I25" s="99">
        <f t="shared" si="3"/>
        <v>8.7344328508919433E-2</v>
      </c>
      <c r="J25" s="96">
        <f t="shared" si="0"/>
        <v>0.11337974536868765</v>
      </c>
      <c r="K25" s="97">
        <f t="shared" si="4"/>
        <v>25.382506093795751</v>
      </c>
      <c r="L25" s="95">
        <v>-1.1100000000000001</v>
      </c>
      <c r="M25" s="95"/>
      <c r="N25" s="101">
        <v>45868</v>
      </c>
      <c r="O25" s="95"/>
    </row>
  </sheetData>
  <pageMargins left="0.7" right="0.7" top="0.75" bottom="0.75" header="0.3" footer="0.3"/>
  <pageSetup scale="66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1EA87-8041-624B-A275-1EF2EDBA8BE9}">
  <dimension ref="A1:AA25"/>
  <sheetViews>
    <sheetView zoomScale="93" zoomScaleNormal="150" workbookViewId="0">
      <selection activeCell="R2" sqref="R2"/>
    </sheetView>
  </sheetViews>
  <sheetFormatPr defaultColWidth="11" defaultRowHeight="16" x14ac:dyDescent="0.4"/>
  <cols>
    <col min="1" max="1" width="7.33203125" bestFit="1" customWidth="1"/>
    <col min="2" max="2" width="4.9140625" bestFit="1" customWidth="1"/>
    <col min="3" max="4" width="7.9140625" bestFit="1" customWidth="1"/>
    <col min="5" max="5" width="10.25" bestFit="1" customWidth="1"/>
    <col min="6" max="6" width="7.1640625" bestFit="1" customWidth="1"/>
    <col min="7" max="7" width="10.25" bestFit="1" customWidth="1"/>
    <col min="8" max="8" width="10" bestFit="1" customWidth="1"/>
    <col min="9" max="9" width="10.9140625" style="104" bestFit="1" customWidth="1"/>
    <col min="10" max="10" width="8.58203125" style="104" bestFit="1" customWidth="1"/>
    <col min="11" max="12" width="8.83203125" bestFit="1" customWidth="1"/>
    <col min="13" max="13" width="9.25" bestFit="1" customWidth="1"/>
    <col min="14" max="14" width="10.58203125" style="104" bestFit="1" customWidth="1"/>
    <col min="15" max="15" width="10.6640625" style="104" bestFit="1" customWidth="1"/>
    <col min="16" max="16" width="7.5" bestFit="1" customWidth="1"/>
    <col min="17" max="17" width="10.1640625" style="109" bestFit="1" customWidth="1"/>
    <col min="18" max="18" width="10.25" style="109" bestFit="1" customWidth="1"/>
    <col min="19" max="19" width="10.4140625" bestFit="1" customWidth="1"/>
    <col min="20" max="20" width="10.58203125" bestFit="1" customWidth="1"/>
    <col min="21" max="21" width="15.5" style="111" bestFit="1" customWidth="1"/>
    <col min="22" max="22" width="11.58203125" style="111" bestFit="1" customWidth="1"/>
    <col min="23" max="23" width="8.08203125" style="111" bestFit="1" customWidth="1"/>
    <col min="24" max="24" width="12.5" bestFit="1" customWidth="1"/>
    <col min="25" max="25" width="44.75" bestFit="1" customWidth="1"/>
    <col min="26" max="26" width="4.4140625" bestFit="1" customWidth="1"/>
    <col min="27" max="27" width="7.08203125" bestFit="1" customWidth="1"/>
  </cols>
  <sheetData>
    <row r="1" spans="1:27" ht="112" x14ac:dyDescent="0.4">
      <c r="A1" t="s">
        <v>9</v>
      </c>
      <c r="B1" t="s">
        <v>105</v>
      </c>
      <c r="C1" s="21" t="s">
        <v>106</v>
      </c>
      <c r="D1" s="31" t="s">
        <v>15</v>
      </c>
      <c r="E1" s="31" t="s">
        <v>97</v>
      </c>
      <c r="F1" s="31" t="s">
        <v>99</v>
      </c>
      <c r="G1" s="31" t="s">
        <v>107</v>
      </c>
      <c r="H1" s="67" t="s">
        <v>108</v>
      </c>
      <c r="I1" s="102" t="s">
        <v>109</v>
      </c>
      <c r="J1" s="103" t="s">
        <v>110</v>
      </c>
      <c r="K1" s="68" t="s">
        <v>131</v>
      </c>
      <c r="L1" s="68" t="s">
        <v>132</v>
      </c>
      <c r="M1" s="100" t="s">
        <v>111</v>
      </c>
      <c r="N1" s="105" t="s">
        <v>135</v>
      </c>
      <c r="O1" s="105" t="s">
        <v>136</v>
      </c>
      <c r="P1" s="68" t="s">
        <v>112</v>
      </c>
      <c r="Q1" s="107" t="s">
        <v>133</v>
      </c>
      <c r="R1" s="107" t="s">
        <v>134</v>
      </c>
      <c r="S1" s="69" t="s">
        <v>103</v>
      </c>
      <c r="T1" s="21" t="s">
        <v>113</v>
      </c>
      <c r="U1" s="110" t="s">
        <v>137</v>
      </c>
      <c r="V1" s="112" t="s">
        <v>138</v>
      </c>
      <c r="W1" s="112" t="s">
        <v>139</v>
      </c>
      <c r="X1" s="21" t="s">
        <v>124</v>
      </c>
      <c r="Y1" s="21" t="s">
        <v>114</v>
      </c>
      <c r="Z1" t="s">
        <v>104</v>
      </c>
      <c r="AA1" s="21" t="s">
        <v>129</v>
      </c>
    </row>
    <row r="2" spans="1:27" x14ac:dyDescent="0.4">
      <c r="A2" s="113" t="s">
        <v>115</v>
      </c>
      <c r="B2" s="113">
        <v>22</v>
      </c>
      <c r="C2" s="113">
        <v>20</v>
      </c>
      <c r="D2" s="113">
        <v>1</v>
      </c>
      <c r="E2" s="114">
        <f>'characterization &amp; setup'!$C$3</f>
        <v>1.0666893694671162</v>
      </c>
      <c r="F2" s="114">
        <f>'characterization &amp; setup'!$C$5</f>
        <v>51.645994131137066</v>
      </c>
      <c r="G2" s="114">
        <f>'final WP and GM'!I2</f>
        <v>7.4598183088749048E-2</v>
      </c>
      <c r="H2" s="115">
        <f t="shared" ref="H2:H25" si="0">G2*E2</f>
        <v>7.9573088882330209E-2</v>
      </c>
      <c r="I2" s="116">
        <f t="shared" ref="I2:I25" si="1">100*G2*E2/(0.01*F2)</f>
        <v>15.407407722713595</v>
      </c>
      <c r="J2" s="117">
        <v>-2.37</v>
      </c>
      <c r="K2" s="118">
        <f ca="1">'H2 uptake rates'!$S$4</f>
        <v>7.5743018744391152E-3</v>
      </c>
      <c r="L2" s="118">
        <f ca="1">ABS('H2 uptake rates'!$T$4)</f>
        <v>7.6919766749441012E-3</v>
      </c>
      <c r="M2" s="113">
        <v>2</v>
      </c>
      <c r="N2" s="106">
        <f ca="1">K2/M2</f>
        <v>3.7871509372195576E-3</v>
      </c>
      <c r="O2" s="106">
        <f ca="1">L2/M2</f>
        <v>3.8459883374720506E-3</v>
      </c>
      <c r="P2" s="97">
        <f>'characterization &amp; setup'!$B$12</f>
        <v>3.4705243251883306</v>
      </c>
      <c r="Q2" s="108">
        <f t="shared" ref="Q2:Q25" ca="1" si="2">N2/(0.01*P2)</f>
        <v>0.10912330767236575</v>
      </c>
      <c r="R2" s="108">
        <f t="shared" ref="R2:R25" ca="1" si="3">O2/(0.01*P2)</f>
        <v>0.11081865381431506</v>
      </c>
      <c r="S2" s="119">
        <f>'final WP and GM'!N2</f>
        <v>45856</v>
      </c>
      <c r="T2" s="113" t="s">
        <v>116</v>
      </c>
      <c r="U2" s="99">
        <f t="shared" ref="U2:U25" si="4">-0.000027*I2^2+ 0.00134*I2- 0.004008</f>
        <v>1.0228444604619986E-2</v>
      </c>
      <c r="V2" s="111">
        <f t="shared" ref="V2:V25" ca="1" si="5">N2/U2</f>
        <v>0.37025677740963436</v>
      </c>
      <c r="X2" s="124">
        <f ca="1">W4*(-0.000027*24.815^2+0.00134*24.815-0.004008)</f>
        <v>4.4323735202500356E-3</v>
      </c>
    </row>
    <row r="3" spans="1:27" x14ac:dyDescent="0.4">
      <c r="A3" s="113" t="s">
        <v>115</v>
      </c>
      <c r="B3" s="113">
        <v>22</v>
      </c>
      <c r="C3" s="113">
        <v>20</v>
      </c>
      <c r="D3" s="113">
        <v>2</v>
      </c>
      <c r="E3" s="114">
        <f>'characterization &amp; setup'!$C$3</f>
        <v>1.0666893694671162</v>
      </c>
      <c r="F3" s="114">
        <f>'characterization &amp; setup'!$C$5</f>
        <v>51.645994131137066</v>
      </c>
      <c r="G3" s="114">
        <f>'final WP and GM'!I3</f>
        <v>7.4081781292270485E-2</v>
      </c>
      <c r="H3" s="115">
        <f t="shared" si="0"/>
        <v>7.9022248575652806E-2</v>
      </c>
      <c r="I3" s="116">
        <f t="shared" si="1"/>
        <v>15.300750794921916</v>
      </c>
      <c r="J3" s="117">
        <v>-2.2000000000000002</v>
      </c>
      <c r="K3" s="118">
        <f ca="1">'H2 uptake rates'!$S$17</f>
        <v>6.062394844344691E-3</v>
      </c>
      <c r="L3" s="118">
        <f ca="1">ABS('H2 uptake rates'!$T$17)</f>
        <v>5.3154391513065245E-3</v>
      </c>
      <c r="M3" s="113">
        <v>2</v>
      </c>
      <c r="N3" s="106">
        <f t="shared" ref="N3:N25" ca="1" si="6">K3/M3</f>
        <v>3.0311974221723455E-3</v>
      </c>
      <c r="O3" s="106">
        <f t="shared" ref="O3:O25" ca="1" si="7">L3/M3</f>
        <v>2.6577195756532623E-3</v>
      </c>
      <c r="P3" s="97">
        <f>'characterization &amp; setup'!$B$12</f>
        <v>3.4705243251883306</v>
      </c>
      <c r="Q3" s="108">
        <f t="shared" ca="1" si="2"/>
        <v>8.7341195109123887E-2</v>
      </c>
      <c r="R3" s="108">
        <f t="shared" ca="1" si="3"/>
        <v>7.6579770853761095E-2</v>
      </c>
      <c r="S3" s="119">
        <f>'final WP and GM'!N3</f>
        <v>45856</v>
      </c>
      <c r="T3" s="113" t="s">
        <v>116</v>
      </c>
      <c r="U3" s="99">
        <f t="shared" si="4"/>
        <v>1.0173955743211168E-2</v>
      </c>
      <c r="V3" s="111">
        <f t="shared" ca="1" si="5"/>
        <v>0.29793695772610268</v>
      </c>
      <c r="X3" s="124"/>
    </row>
    <row r="4" spans="1:27" x14ac:dyDescent="0.4">
      <c r="A4" s="113" t="s">
        <v>115</v>
      </c>
      <c r="B4" s="113">
        <v>22</v>
      </c>
      <c r="C4" s="113">
        <v>20</v>
      </c>
      <c r="D4" s="113">
        <v>3</v>
      </c>
      <c r="E4" s="114">
        <f>'characterization &amp; setup'!$C$3</f>
        <v>1.0666893694671162</v>
      </c>
      <c r="F4" s="114">
        <f>'characterization &amp; setup'!$C$5</f>
        <v>51.645994131137066</v>
      </c>
      <c r="G4" s="114">
        <f>'final WP and GM'!I4</f>
        <v>6.9069417081934689E-2</v>
      </c>
      <c r="H4" s="115">
        <f t="shared" si="0"/>
        <v>7.3675612956590183E-2</v>
      </c>
      <c r="I4" s="116">
        <f t="shared" si="1"/>
        <v>14.26550387809683</v>
      </c>
      <c r="J4" s="117">
        <v>-2.35</v>
      </c>
      <c r="K4" s="118">
        <f ca="1">'H2 uptake rates'!$S$30</f>
        <v>7.4143161220665442E-3</v>
      </c>
      <c r="L4" s="118">
        <f ca="1">ABS('H2 uptake rates'!$T$30)</f>
        <v>5.604133711648222E-3</v>
      </c>
      <c r="M4" s="113">
        <v>2</v>
      </c>
      <c r="N4" s="106">
        <f t="shared" ca="1" si="6"/>
        <v>3.7071580610332721E-3</v>
      </c>
      <c r="O4" s="106">
        <f t="shared" ca="1" si="7"/>
        <v>2.802066855824111E-3</v>
      </c>
      <c r="P4" s="97">
        <f>'characterization &amp; setup'!$B$12</f>
        <v>3.4705243251883306</v>
      </c>
      <c r="Q4" s="108">
        <f t="shared" ca="1" si="2"/>
        <v>0.10681838574441054</v>
      </c>
      <c r="R4" s="108">
        <f t="shared" ca="1" si="3"/>
        <v>8.073900636532938E-2</v>
      </c>
      <c r="S4" s="119">
        <f>'final WP and GM'!N4</f>
        <v>45856</v>
      </c>
      <c r="T4" s="113" t="s">
        <v>116</v>
      </c>
      <c r="U4" s="99">
        <f t="shared" si="4"/>
        <v>9.6131509724578686E-3</v>
      </c>
      <c r="V4" s="111">
        <f t="shared" ca="1" si="5"/>
        <v>0.38563402069253411</v>
      </c>
      <c r="W4" s="111">
        <f ca="1">AVERAGE(V2:V4)</f>
        <v>0.3512759186094237</v>
      </c>
      <c r="X4" s="124"/>
    </row>
    <row r="5" spans="1:27" x14ac:dyDescent="0.4">
      <c r="A5" s="113" t="s">
        <v>37</v>
      </c>
      <c r="B5" s="113">
        <v>22</v>
      </c>
      <c r="C5" s="113">
        <v>20</v>
      </c>
      <c r="D5" s="113">
        <v>1</v>
      </c>
      <c r="E5" s="114">
        <f>'characterization &amp; setup'!$C$50</f>
        <v>1.0945960734642177</v>
      </c>
      <c r="F5" s="114">
        <f>'characterization &amp; setup'!$C$52</f>
        <v>48.513825330939895</v>
      </c>
      <c r="G5" s="114">
        <f>'final WP and GM'!I5</f>
        <v>7.4797305013132462E-2</v>
      </c>
      <c r="H5" s="115">
        <f t="shared" si="0"/>
        <v>8.1872836373080238E-2</v>
      </c>
      <c r="I5" s="116">
        <f t="shared" si="1"/>
        <v>16.876186492114339</v>
      </c>
      <c r="J5" s="117">
        <v>-2.25</v>
      </c>
      <c r="K5" s="118">
        <f ca="1">'H2 uptake rates'!$S$43</f>
        <v>5.5938888707083708E-3</v>
      </c>
      <c r="L5" s="118">
        <f ca="1">ABS('H2 uptake rates'!$T$43)</f>
        <v>1.9994209414357176E-3</v>
      </c>
      <c r="M5" s="113">
        <v>2</v>
      </c>
      <c r="N5" s="106">
        <f t="shared" ca="1" si="6"/>
        <v>2.7969444353541854E-3</v>
      </c>
      <c r="O5" s="106">
        <f t="shared" ca="1" si="7"/>
        <v>9.997104707178588E-4</v>
      </c>
      <c r="P5" s="97">
        <f>'characterization &amp; setup'!$B$59</f>
        <v>3.4397476748009601</v>
      </c>
      <c r="Q5" s="108">
        <f t="shared" ca="1" si="2"/>
        <v>8.131248858293158E-2</v>
      </c>
      <c r="R5" s="108">
        <f t="shared" ca="1" si="3"/>
        <v>2.9063482709548068E-2</v>
      </c>
      <c r="S5" s="119">
        <f>'final WP and GM'!N5</f>
        <v>45856</v>
      </c>
      <c r="T5" s="113" t="s">
        <v>116</v>
      </c>
      <c r="U5" s="99">
        <f t="shared" si="4"/>
        <v>1.0916336795484406E-2</v>
      </c>
      <c r="V5" s="111">
        <f t="shared" ca="1" si="5"/>
        <v>0.25621639271070812</v>
      </c>
      <c r="X5" s="124">
        <f ca="1">W7*(-0.000027*24.815^2+0.00134*24.815-0.004008)</f>
        <v>3.7073875380961847E-3</v>
      </c>
    </row>
    <row r="6" spans="1:27" x14ac:dyDescent="0.4">
      <c r="A6" s="113" t="s">
        <v>37</v>
      </c>
      <c r="B6" s="113">
        <v>22</v>
      </c>
      <c r="C6" s="113">
        <v>20</v>
      </c>
      <c r="D6" s="113">
        <v>2</v>
      </c>
      <c r="E6" s="114">
        <f>'characterization &amp; setup'!$C$50</f>
        <v>1.0945960734642177</v>
      </c>
      <c r="F6" s="114">
        <f>'characterization &amp; setup'!$C$52</f>
        <v>48.513825330939895</v>
      </c>
      <c r="G6" s="114">
        <f>'final WP and GM'!I6</f>
        <v>7.6161382070999872E-2</v>
      </c>
      <c r="H6" s="115">
        <f t="shared" si="0"/>
        <v>8.3365949764524536E-2</v>
      </c>
      <c r="I6" s="116">
        <f t="shared" si="1"/>
        <v>17.183957190726318</v>
      </c>
      <c r="J6" s="117">
        <v>-2.33</v>
      </c>
      <c r="K6" s="118">
        <f ca="1">'H2 uptake rates'!$S$56</f>
        <v>7.4750451231637358E-3</v>
      </c>
      <c r="L6" s="118">
        <f ca="1">ABS('H2 uptake rates'!$T$56)</f>
        <v>8.2525768484260423E-3</v>
      </c>
      <c r="M6" s="113">
        <v>2</v>
      </c>
      <c r="N6" s="106">
        <f ca="1">K6/M6</f>
        <v>3.7375225615818679E-3</v>
      </c>
      <c r="O6" s="106">
        <f t="shared" ca="1" si="7"/>
        <v>4.1262884242130211E-3</v>
      </c>
      <c r="P6" s="97">
        <f>'characterization &amp; setup'!$B$59</f>
        <v>3.4397476748009601</v>
      </c>
      <c r="Q6" s="108">
        <f t="shared" ca="1" si="2"/>
        <v>0.10865688169403701</v>
      </c>
      <c r="R6" s="108">
        <f t="shared" ca="1" si="3"/>
        <v>0.11995904392759819</v>
      </c>
      <c r="S6" s="119">
        <f>'final WP and GM'!N6</f>
        <v>45856</v>
      </c>
      <c r="T6" s="113" t="s">
        <v>116</v>
      </c>
      <c r="U6" s="99">
        <f t="shared" si="4"/>
        <v>1.1045716247789966E-2</v>
      </c>
      <c r="V6" s="111">
        <f t="shared" ca="1" si="5"/>
        <v>0.33836851117098665</v>
      </c>
      <c r="X6" s="124"/>
    </row>
    <row r="7" spans="1:27" x14ac:dyDescent="0.4">
      <c r="A7" s="113" t="s">
        <v>37</v>
      </c>
      <c r="B7" s="113">
        <v>22</v>
      </c>
      <c r="C7" s="113">
        <v>20</v>
      </c>
      <c r="D7" s="113">
        <v>3</v>
      </c>
      <c r="E7" s="114">
        <f>'characterization &amp; setup'!$C$50</f>
        <v>1.0945960734642177</v>
      </c>
      <c r="F7" s="114">
        <f>'characterization &amp; setup'!$C$52</f>
        <v>48.513825330939895</v>
      </c>
      <c r="G7" s="114">
        <f>'final WP and GM'!I7</f>
        <v>7.2804824238858812E-2</v>
      </c>
      <c r="H7" s="115">
        <f t="shared" si="0"/>
        <v>7.9691874741107366E-2</v>
      </c>
      <c r="I7" s="116">
        <f t="shared" si="1"/>
        <v>16.426631830717241</v>
      </c>
      <c r="J7" s="117">
        <v>-2.4900000000000002</v>
      </c>
      <c r="K7" s="118">
        <f ca="1">'H2 uptake rates'!$S$69</f>
        <v>6.1494893179237569E-3</v>
      </c>
      <c r="L7" s="118">
        <f ca="1">ABS('H2 uptake rates'!$T$69)</f>
        <v>5.4518425528678445E-3</v>
      </c>
      <c r="M7" s="113">
        <v>2</v>
      </c>
      <c r="N7" s="106">
        <f t="shared" ca="1" si="6"/>
        <v>3.0747446589618785E-3</v>
      </c>
      <c r="O7" s="106">
        <f t="shared" ca="1" si="7"/>
        <v>2.7259212764339223E-3</v>
      </c>
      <c r="P7" s="97">
        <f>'characterization &amp; setup'!$B$59</f>
        <v>3.4397476748009601</v>
      </c>
      <c r="Q7" s="108">
        <f t="shared" ca="1" si="2"/>
        <v>8.9388668869143068E-2</v>
      </c>
      <c r="R7" s="108">
        <f t="shared" ca="1" si="3"/>
        <v>7.9247710417935144E-2</v>
      </c>
      <c r="S7" s="119">
        <f>'final WP and GM'!N7</f>
        <v>45856</v>
      </c>
      <c r="T7" s="113" t="s">
        <v>116</v>
      </c>
      <c r="U7" s="99">
        <f t="shared" si="4"/>
        <v>1.0718162354008916E-2</v>
      </c>
      <c r="V7" s="111">
        <f t="shared" ca="1" si="5"/>
        <v>0.28687237209201549</v>
      </c>
      <c r="W7" s="111">
        <f ca="1">AVERAGE(V5:V7)</f>
        <v>0.29381909199123674</v>
      </c>
      <c r="X7" s="124"/>
    </row>
    <row r="8" spans="1:27" x14ac:dyDescent="0.4">
      <c r="A8" s="113" t="s">
        <v>117</v>
      </c>
      <c r="B8" s="113">
        <v>22</v>
      </c>
      <c r="C8" s="113">
        <v>20</v>
      </c>
      <c r="D8" s="113">
        <v>1</v>
      </c>
      <c r="E8" s="114">
        <f>'characterization &amp; setup'!$C$93</f>
        <v>1.0082587724960621</v>
      </c>
      <c r="F8" s="114">
        <f>'characterization &amp; setup'!$C$95</f>
        <v>53.952376119105679</v>
      </c>
      <c r="G8" s="114">
        <f>'final WP and GM'!I8</f>
        <v>5.4629629629629174E-2</v>
      </c>
      <c r="H8" s="115">
        <f t="shared" si="0"/>
        <v>5.5080803312284418E-2</v>
      </c>
      <c r="I8" s="116">
        <f t="shared" si="1"/>
        <v>10.209152455248237</v>
      </c>
      <c r="J8" s="117">
        <v>-3.51</v>
      </c>
      <c r="K8" s="118">
        <f ca="1">'H2 uptake rates'!$S$83</f>
        <v>7.1885002013162185E-3</v>
      </c>
      <c r="L8" s="118">
        <f ca="1">ABS('H2 uptake rates'!$T$83)</f>
        <v>8.1656851390094192E-3</v>
      </c>
      <c r="M8" s="113">
        <v>2</v>
      </c>
      <c r="N8" s="106">
        <f t="shared" ca="1" si="6"/>
        <v>3.5942501006581092E-3</v>
      </c>
      <c r="O8" s="106">
        <f t="shared" ca="1" si="7"/>
        <v>4.0828425695047096E-3</v>
      </c>
      <c r="P8" s="97">
        <f>'characterization &amp; setup'!$B$102</f>
        <v>4.4487295729456475</v>
      </c>
      <c r="Q8" s="108">
        <f t="shared" ca="1" si="2"/>
        <v>8.0792730637439941E-2</v>
      </c>
      <c r="R8" s="108">
        <f t="shared" ca="1" si="3"/>
        <v>9.1775472133302255E-2</v>
      </c>
      <c r="S8" s="119">
        <f>'final WP and GM'!N8</f>
        <v>45860</v>
      </c>
      <c r="T8" s="113" t="s">
        <v>116</v>
      </c>
      <c r="U8" s="99">
        <f t="shared" si="4"/>
        <v>6.8581408559611071E-3</v>
      </c>
      <c r="V8" s="111">
        <f t="shared" ca="1" si="5"/>
        <v>0.52408519686993327</v>
      </c>
      <c r="X8" s="124">
        <f ca="1">W10*(-0.000027*24.815^2+0.00134*24.815-0.004008)</f>
        <v>6.3976937971682258E-3</v>
      </c>
    </row>
    <row r="9" spans="1:27" x14ac:dyDescent="0.4">
      <c r="A9" s="113" t="s">
        <v>117</v>
      </c>
      <c r="B9" s="113">
        <v>22</v>
      </c>
      <c r="C9" s="113">
        <v>20</v>
      </c>
      <c r="D9" s="113">
        <v>2</v>
      </c>
      <c r="E9" s="114">
        <f>'characterization &amp; setup'!$C$93</f>
        <v>1.0082587724960621</v>
      </c>
      <c r="F9" s="114">
        <f>'characterization &amp; setup'!$C$95</f>
        <v>53.952376119105679</v>
      </c>
      <c r="G9" s="114">
        <f>'final WP and GM'!I9</f>
        <v>6.2418483324017331E-2</v>
      </c>
      <c r="H9" s="115">
        <f t="shared" si="0"/>
        <v>6.2933983377339631E-2</v>
      </c>
      <c r="I9" s="116">
        <f t="shared" si="1"/>
        <v>11.664728767164227</v>
      </c>
      <c r="J9" s="117">
        <v>-3.33</v>
      </c>
      <c r="K9" s="118">
        <f ca="1">'H2 uptake rates'!$S$96</f>
        <v>7.3688396489036013E-3</v>
      </c>
      <c r="L9" s="118">
        <f ca="1">ABS('H2 uptake rates'!$T$96)</f>
        <v>7.8716760634601861E-3</v>
      </c>
      <c r="M9" s="113">
        <v>2</v>
      </c>
      <c r="N9" s="106">
        <f t="shared" ca="1" si="6"/>
        <v>3.6844198244518006E-3</v>
      </c>
      <c r="O9" s="106">
        <f t="shared" ca="1" si="7"/>
        <v>3.935838031730093E-3</v>
      </c>
      <c r="P9" s="97">
        <f>'characterization &amp; setup'!$B$102</f>
        <v>4.4487295729456475</v>
      </c>
      <c r="Q9" s="108">
        <f t="shared" ca="1" si="2"/>
        <v>8.2819595213386443E-2</v>
      </c>
      <c r="R9" s="108">
        <f t="shared" ca="1" si="3"/>
        <v>8.8471055999118586E-2</v>
      </c>
      <c r="S9" s="119">
        <f>'final WP and GM'!N9</f>
        <v>45860</v>
      </c>
      <c r="T9" s="113" t="s">
        <v>116</v>
      </c>
      <c r="U9" s="99">
        <f t="shared" si="4"/>
        <v>7.9489573232893289E-3</v>
      </c>
      <c r="V9" s="111">
        <f t="shared" ca="1" si="5"/>
        <v>0.46350982583048572</v>
      </c>
      <c r="X9" s="124"/>
    </row>
    <row r="10" spans="1:27" x14ac:dyDescent="0.4">
      <c r="A10" s="113" t="s">
        <v>117</v>
      </c>
      <c r="B10" s="113">
        <v>22</v>
      </c>
      <c r="C10" s="113">
        <v>20</v>
      </c>
      <c r="D10" s="113">
        <v>3</v>
      </c>
      <c r="E10" s="114">
        <f>'characterization &amp; setup'!$C$93</f>
        <v>1.0082587724960621</v>
      </c>
      <c r="F10" s="114">
        <f>'characterization &amp; setup'!$C$95</f>
        <v>53.952376119105679</v>
      </c>
      <c r="G10" s="114">
        <f>'final WP and GM'!I10</f>
        <v>5.8141546980446226E-2</v>
      </c>
      <c r="H10" s="115">
        <f t="shared" si="0"/>
        <v>5.862172478952684E-2</v>
      </c>
      <c r="I10" s="116">
        <f t="shared" si="1"/>
        <v>10.865457465694016</v>
      </c>
      <c r="J10" s="117">
        <v>-3.32</v>
      </c>
      <c r="K10" s="118">
        <f ca="1">'H2 uptake rates'!$S$109</f>
        <v>7.8575599979568075E-3</v>
      </c>
      <c r="L10" s="118">
        <f ca="1">ABS('H2 uptake rates'!$T$109)</f>
        <v>8.329685591743928E-3</v>
      </c>
      <c r="M10" s="113">
        <v>2</v>
      </c>
      <c r="N10" s="106">
        <f t="shared" ca="1" si="6"/>
        <v>3.9287799989784038E-3</v>
      </c>
      <c r="O10" s="106">
        <f t="shared" ca="1" si="7"/>
        <v>4.164842795871964E-3</v>
      </c>
      <c r="P10" s="97">
        <f>'characterization &amp; setup'!$B$102</f>
        <v>4.4487295729456475</v>
      </c>
      <c r="Q10" s="108">
        <f t="shared" ca="1" si="2"/>
        <v>8.8312403227895728E-2</v>
      </c>
      <c r="R10" s="108">
        <f t="shared" ca="1" si="3"/>
        <v>9.3618700071137095E-2</v>
      </c>
      <c r="S10" s="119">
        <f>'final WP and GM'!N10</f>
        <v>45860</v>
      </c>
      <c r="T10" s="113" t="s">
        <v>116</v>
      </c>
      <c r="U10" s="99">
        <f t="shared" si="4"/>
        <v>7.3641425236822241E-3</v>
      </c>
      <c r="V10" s="111">
        <f t="shared" ca="1" si="5"/>
        <v>0.53350135285186362</v>
      </c>
      <c r="W10" s="111">
        <f ca="1">AVERAGE(V8:V10)</f>
        <v>0.50703212518409424</v>
      </c>
      <c r="X10" s="124"/>
    </row>
    <row r="11" spans="1:27" x14ac:dyDescent="0.4">
      <c r="A11" s="113" t="s">
        <v>41</v>
      </c>
      <c r="B11" s="113">
        <v>22</v>
      </c>
      <c r="C11" s="113">
        <v>20</v>
      </c>
      <c r="D11" s="113">
        <v>1</v>
      </c>
      <c r="E11" s="114">
        <f>'characterization &amp; setup'!$C$135</f>
        <v>1.1623208513201486</v>
      </c>
      <c r="F11" s="114">
        <f>'characterization &amp; setup'!$C$137</f>
        <v>47.525017999090359</v>
      </c>
      <c r="G11" s="114">
        <f>'final WP and GM'!I11</f>
        <v>6.330416881111553E-2</v>
      </c>
      <c r="H11" s="115">
        <f t="shared" si="0"/>
        <v>7.3579755384650197E-2</v>
      </c>
      <c r="I11" s="116">
        <f t="shared" si="1"/>
        <v>15.4823203614691</v>
      </c>
      <c r="J11" s="117">
        <v>-2.63</v>
      </c>
      <c r="K11" s="118">
        <f ca="1">'H2 uptake rates'!$S$122</f>
        <v>4.1951813650424009E-3</v>
      </c>
      <c r="L11" s="118">
        <f ca="1">ABS('H2 uptake rates'!$T$122)</f>
        <v>5.0064836740327636E-3</v>
      </c>
      <c r="M11" s="113">
        <v>2</v>
      </c>
      <c r="N11" s="106">
        <f t="shared" ca="1" si="6"/>
        <v>2.0975906825212005E-3</v>
      </c>
      <c r="O11" s="106">
        <f t="shared" ca="1" si="7"/>
        <v>2.5032418370163818E-3</v>
      </c>
      <c r="P11" s="97">
        <f>'characterization &amp; setup'!$B$144</f>
        <v>3.7927181188692494</v>
      </c>
      <c r="Q11" s="108">
        <f t="shared" ca="1" si="2"/>
        <v>5.5305736328925235E-2</v>
      </c>
      <c r="R11" s="108">
        <f t="shared" ca="1" si="3"/>
        <v>6.6001262381257364E-2</v>
      </c>
      <c r="S11" s="119">
        <f>'final WP and GM'!N11</f>
        <v>45860</v>
      </c>
      <c r="T11" s="113" t="s">
        <v>116</v>
      </c>
      <c r="U11" s="99">
        <f t="shared" si="4"/>
        <v>1.0266348702439258E-2</v>
      </c>
      <c r="V11" s="111">
        <f t="shared" ca="1" si="5"/>
        <v>0.20431710857656904</v>
      </c>
      <c r="X11" s="124">
        <f ca="1">W13*(-0.000027*24.815^2+0.00134*24.815-0.004008)</f>
        <v>2.9784665077156156E-3</v>
      </c>
    </row>
    <row r="12" spans="1:27" x14ac:dyDescent="0.4">
      <c r="A12" s="113" t="s">
        <v>41</v>
      </c>
      <c r="B12" s="113">
        <v>22</v>
      </c>
      <c r="C12" s="113">
        <v>20</v>
      </c>
      <c r="D12" s="113">
        <v>2</v>
      </c>
      <c r="E12" s="114">
        <f>'characterization &amp; setup'!$C$135</f>
        <v>1.1623208513201486</v>
      </c>
      <c r="F12" s="114">
        <f>'characterization &amp; setup'!$C$137</f>
        <v>47.525017999090359</v>
      </c>
      <c r="G12" s="114">
        <f>'final WP and GM'!I12</f>
        <v>5.7920359505679968E-2</v>
      </c>
      <c r="H12" s="115">
        <f t="shared" si="0"/>
        <v>6.7322041569411004E-2</v>
      </c>
      <c r="I12" s="116">
        <f t="shared" si="1"/>
        <v>14.165600436111264</v>
      </c>
      <c r="J12" s="117">
        <v>-3.24</v>
      </c>
      <c r="K12" s="118">
        <f ca="1">'H2 uptake rates'!$S$135</f>
        <v>4.890611852238996E-3</v>
      </c>
      <c r="L12" s="118">
        <f ca="1">ABS('H2 uptake rates'!$T$135)</f>
        <v>5.2807707035567681E-3</v>
      </c>
      <c r="M12" s="113">
        <v>2</v>
      </c>
      <c r="N12" s="106">
        <f t="shared" ca="1" si="6"/>
        <v>2.445305926119498E-3</v>
      </c>
      <c r="O12" s="106">
        <f t="shared" ca="1" si="7"/>
        <v>2.6403853517783841E-3</v>
      </c>
      <c r="P12" s="97">
        <f>'characterization &amp; setup'!$B$144</f>
        <v>3.7927181188692494</v>
      </c>
      <c r="Q12" s="108">
        <f t="shared" ca="1" si="2"/>
        <v>6.4473705914336044E-2</v>
      </c>
      <c r="R12" s="108">
        <f t="shared" ca="1" si="3"/>
        <v>6.9617231468959817E-2</v>
      </c>
      <c r="S12" s="119">
        <f>'final WP and GM'!N12</f>
        <v>45860</v>
      </c>
      <c r="T12" s="113" t="s">
        <v>116</v>
      </c>
      <c r="U12" s="99">
        <f t="shared" si="4"/>
        <v>9.5559702200690919E-3</v>
      </c>
      <c r="V12" s="111">
        <f t="shared" ca="1" si="5"/>
        <v>0.25589300403887383</v>
      </c>
      <c r="X12" s="124"/>
    </row>
    <row r="13" spans="1:27" x14ac:dyDescent="0.4">
      <c r="A13" s="113" t="s">
        <v>41</v>
      </c>
      <c r="B13" s="113">
        <v>22</v>
      </c>
      <c r="C13" s="113">
        <v>20</v>
      </c>
      <c r="D13" s="113">
        <v>3</v>
      </c>
      <c r="E13" s="114">
        <f>'characterization &amp; setup'!$C$135</f>
        <v>1.1623208513201486</v>
      </c>
      <c r="F13" s="114">
        <f>'characterization &amp; setup'!$C$137</f>
        <v>47.525017999090359</v>
      </c>
      <c r="G13" s="114">
        <f>'final WP and GM'!I13</f>
        <v>5.9804276911922576E-2</v>
      </c>
      <c r="H13" s="115">
        <f t="shared" si="0"/>
        <v>6.9511758052851758E-2</v>
      </c>
      <c r="I13" s="116">
        <f t="shared" si="1"/>
        <v>14.626350705260592</v>
      </c>
      <c r="J13" s="117">
        <v>-3.22</v>
      </c>
      <c r="K13" s="118">
        <f ca="1">'H2 uptake rates'!$S$148</f>
        <v>4.867181102135772E-3</v>
      </c>
      <c r="L13" s="118">
        <f ca="1">ABS('H2 uptake rates'!$T$148)</f>
        <v>4.1387413637001763E-3</v>
      </c>
      <c r="M13" s="113">
        <v>2</v>
      </c>
      <c r="N13" s="106">
        <f t="shared" ca="1" si="6"/>
        <v>2.433590551067886E-3</v>
      </c>
      <c r="O13" s="106">
        <f t="shared" ca="1" si="7"/>
        <v>2.0693706818500882E-3</v>
      </c>
      <c r="P13" s="97">
        <f>'characterization &amp; setup'!$B$144</f>
        <v>3.7927181188692494</v>
      </c>
      <c r="Q13" s="108">
        <f t="shared" ca="1" si="2"/>
        <v>6.4164814647322904E-2</v>
      </c>
      <c r="R13" s="108">
        <f t="shared" ca="1" si="3"/>
        <v>5.4561678906605494E-2</v>
      </c>
      <c r="S13" s="119">
        <f>'final WP and GM'!N13</f>
        <v>45860</v>
      </c>
      <c r="T13" s="113" t="s">
        <v>116</v>
      </c>
      <c r="U13" s="99">
        <f t="shared" si="4"/>
        <v>9.8151963013107142E-3</v>
      </c>
      <c r="V13" s="111">
        <f t="shared" ca="1" si="5"/>
        <v>0.24794109830925196</v>
      </c>
      <c r="W13" s="111">
        <f ca="1">AVERAGE(V11:V13)</f>
        <v>0.23605040364156493</v>
      </c>
      <c r="X13" s="124"/>
    </row>
    <row r="14" spans="1:27" x14ac:dyDescent="0.4">
      <c r="A14" s="113" t="s">
        <v>43</v>
      </c>
      <c r="B14" s="113">
        <v>22</v>
      </c>
      <c r="C14" s="113">
        <v>20</v>
      </c>
      <c r="D14" s="113">
        <v>1</v>
      </c>
      <c r="E14" s="114">
        <f>'characterization &amp; setup'!$C$178</f>
        <v>0.76650690696893797</v>
      </c>
      <c r="F14" s="114">
        <f>'characterization &amp; setup'!$C$180</f>
        <v>61.626688011567559</v>
      </c>
      <c r="G14" s="114">
        <f>'final WP and GM'!I14</f>
        <v>0.10972048393825473</v>
      </c>
      <c r="H14" s="115">
        <f t="shared" si="0"/>
        <v>8.4101508774646672E-2</v>
      </c>
      <c r="I14" s="116">
        <f t="shared" si="1"/>
        <v>13.646929842937606</v>
      </c>
      <c r="J14" s="117">
        <v>-2.5499999999999998</v>
      </c>
      <c r="K14" s="118">
        <f ca="1">'H2 uptake rates'!$S$162</f>
        <v>1.6072170575121475E-2</v>
      </c>
      <c r="L14" s="118">
        <f ca="1">ABS('H2 uptake rates'!$T$162)</f>
        <v>1.4431570175794481E-2</v>
      </c>
      <c r="M14" s="113">
        <v>2</v>
      </c>
      <c r="N14" s="106">
        <f t="shared" ca="1" si="6"/>
        <v>8.0360852875607375E-3</v>
      </c>
      <c r="O14" s="106">
        <f t="shared" ca="1" si="7"/>
        <v>7.2157850878972404E-3</v>
      </c>
      <c r="P14" s="97">
        <f>'characterization &amp; setup'!$B$187</f>
        <v>7.281477148122824</v>
      </c>
      <c r="Q14" s="108">
        <f t="shared" ca="1" si="2"/>
        <v>0.11036339363685915</v>
      </c>
      <c r="R14" s="108">
        <f t="shared" ca="1" si="3"/>
        <v>9.9097819592244146E-2</v>
      </c>
      <c r="S14" s="119">
        <f>'final WP and GM'!N17</f>
        <v>45862</v>
      </c>
      <c r="T14" s="113" t="s">
        <v>116</v>
      </c>
      <c r="U14" s="99">
        <f t="shared" si="4"/>
        <v>9.2504412478087439E-3</v>
      </c>
      <c r="V14" s="111">
        <f t="shared" ca="1" si="5"/>
        <v>0.86872453673108141</v>
      </c>
      <c r="X14" s="124">
        <f ca="1">W16*(-0.000027*24.815^2+0.00134*24.815-0.004008)</f>
        <v>1.2886965775224343E-2</v>
      </c>
    </row>
    <row r="15" spans="1:27" x14ac:dyDescent="0.4">
      <c r="A15" s="113" t="s">
        <v>43</v>
      </c>
      <c r="B15" s="113">
        <v>22</v>
      </c>
      <c r="C15" s="113">
        <v>20</v>
      </c>
      <c r="D15" s="113">
        <v>2</v>
      </c>
      <c r="E15" s="114">
        <f>'characterization &amp; setup'!$C$178</f>
        <v>0.76650690696893797</v>
      </c>
      <c r="F15" s="114">
        <f>'characterization &amp; setup'!$C$180</f>
        <v>61.626688011567559</v>
      </c>
      <c r="G15" s="114">
        <f>'final WP and GM'!I15</f>
        <v>0.10142944038929297</v>
      </c>
      <c r="H15" s="115">
        <f t="shared" si="0"/>
        <v>7.7746366628387228E-2</v>
      </c>
      <c r="I15" s="116">
        <f t="shared" si="1"/>
        <v>12.615697701261171</v>
      </c>
      <c r="J15" s="117">
        <v>-3.42</v>
      </c>
      <c r="K15" s="118">
        <f ca="1">'H2 uptake rates'!$S$175</f>
        <v>1.9019068714076163E-2</v>
      </c>
      <c r="L15" s="118">
        <f ca="1">ABS('H2 uptake rates'!$T$175)</f>
        <v>1.2933983565582128E-2</v>
      </c>
      <c r="M15" s="113">
        <v>2</v>
      </c>
      <c r="N15" s="106">
        <f t="shared" ca="1" si="6"/>
        <v>9.5095343570380814E-3</v>
      </c>
      <c r="O15" s="106">
        <f t="shared" ca="1" si="7"/>
        <v>6.4669917827910638E-3</v>
      </c>
      <c r="P15" s="97">
        <f>'characterization &amp; setup'!$B$187</f>
        <v>7.281477148122824</v>
      </c>
      <c r="Q15" s="108">
        <f t="shared" ca="1" si="2"/>
        <v>0.13059897275774127</v>
      </c>
      <c r="R15" s="108">
        <f t="shared" ca="1" si="3"/>
        <v>8.8814283849785403E-2</v>
      </c>
      <c r="S15" s="119">
        <f>'final WP and GM'!N18</f>
        <v>45862</v>
      </c>
      <c r="T15" s="113" t="s">
        <v>116</v>
      </c>
      <c r="U15" s="99">
        <f t="shared" si="4"/>
        <v>8.599827550470597E-3</v>
      </c>
      <c r="V15" s="111">
        <f t="shared" ca="1" si="5"/>
        <v>1.1057819823977404</v>
      </c>
      <c r="X15" s="124"/>
    </row>
    <row r="16" spans="1:27" x14ac:dyDescent="0.4">
      <c r="A16" s="113" t="s">
        <v>43</v>
      </c>
      <c r="B16" s="113">
        <v>22</v>
      </c>
      <c r="C16" s="113">
        <v>20</v>
      </c>
      <c r="D16" s="113">
        <v>3</v>
      </c>
      <c r="E16" s="114">
        <f>'characterization &amp; setup'!$C$178</f>
        <v>0.76650690696893797</v>
      </c>
      <c r="F16" s="114">
        <f>'characterization &amp; setup'!$C$180</f>
        <v>61.626688011567559</v>
      </c>
      <c r="G16" s="114">
        <f>'final WP and GM'!I16</f>
        <v>9.6261407123933232E-2</v>
      </c>
      <c r="H16" s="115">
        <f t="shared" si="0"/>
        <v>7.3785033435043751E-2</v>
      </c>
      <c r="I16" s="116">
        <f t="shared" si="1"/>
        <v>11.972902619915907</v>
      </c>
      <c r="J16" s="117">
        <v>-4</v>
      </c>
      <c r="K16" s="118">
        <f ca="1">'H2 uptake rates'!$S$188</f>
        <v>1.7791373516313602E-2</v>
      </c>
      <c r="L16" s="118">
        <f ca="1">ABS('H2 uptake rates'!$T$188)</f>
        <v>1.7550431787360439E-2</v>
      </c>
      <c r="M16" s="113">
        <v>2</v>
      </c>
      <c r="N16" s="106">
        <f t="shared" ca="1" si="6"/>
        <v>8.8956867581568011E-3</v>
      </c>
      <c r="O16" s="106">
        <f t="shared" ca="1" si="7"/>
        <v>8.7752158936802195E-3</v>
      </c>
      <c r="P16" s="97">
        <f>'characterization &amp; setup'!$B$187</f>
        <v>7.281477148122824</v>
      </c>
      <c r="Q16" s="108">
        <f t="shared" ca="1" si="2"/>
        <v>0.12216871078761983</v>
      </c>
      <c r="R16" s="108">
        <f t="shared" ca="1" si="3"/>
        <v>0.12051422692361925</v>
      </c>
      <c r="S16" s="119">
        <f>'final WP and GM'!N19</f>
        <v>45862</v>
      </c>
      <c r="T16" s="113" t="s">
        <v>116</v>
      </c>
      <c r="U16" s="99">
        <f t="shared" si="4"/>
        <v>8.1652287877456084E-3</v>
      </c>
      <c r="V16" s="111">
        <f t="shared" ca="1" si="5"/>
        <v>1.0894595839748502</v>
      </c>
      <c r="W16" s="111">
        <f ca="1">AVERAGE(V14:V16)</f>
        <v>1.0213220343678906</v>
      </c>
      <c r="X16" s="124"/>
    </row>
    <row r="17" spans="1:25" x14ac:dyDescent="0.4">
      <c r="A17" s="113" t="s">
        <v>118</v>
      </c>
      <c r="B17" s="113">
        <v>22</v>
      </c>
      <c r="C17" s="113">
        <v>20</v>
      </c>
      <c r="D17" s="113">
        <v>1</v>
      </c>
      <c r="E17" s="114">
        <f>'characterization &amp; setup'!$C$221</f>
        <v>1.1015441043878984</v>
      </c>
      <c r="F17" s="114">
        <f>'characterization &amp; setup'!$C$223</f>
        <v>51.215938689641341</v>
      </c>
      <c r="G17" s="114">
        <f>'final WP and GM'!I17</f>
        <v>7.0328031809146749E-2</v>
      </c>
      <c r="H17" s="115">
        <f t="shared" si="0"/>
        <v>7.7469428812570185E-2</v>
      </c>
      <c r="I17" s="116">
        <f t="shared" si="1"/>
        <v>15.126039040701745</v>
      </c>
      <c r="J17" s="117">
        <v>-1.74</v>
      </c>
      <c r="K17" s="118">
        <f ca="1">'H2 uptake rates'!$S$201</f>
        <v>4.0894438042251378E-3</v>
      </c>
      <c r="L17" s="118">
        <f ca="1">ABS('H2 uptake rates'!$T$201)</f>
        <v>4.7363044925009974E-4</v>
      </c>
      <c r="M17" s="113">
        <v>2</v>
      </c>
      <c r="N17" s="106">
        <f t="shared" ca="1" si="6"/>
        <v>2.0447219021125689E-3</v>
      </c>
      <c r="O17" s="106">
        <f t="shared" ca="1" si="7"/>
        <v>2.3681522462504987E-4</v>
      </c>
      <c r="P17" s="97">
        <f>'characterization &amp; setup'!$B$230</f>
        <v>3.5938467312057734</v>
      </c>
      <c r="Q17" s="108">
        <f t="shared" ca="1" si="2"/>
        <v>5.6895078033184325E-2</v>
      </c>
      <c r="R17" s="108">
        <f t="shared" ca="1" si="3"/>
        <v>6.5894636676838989E-3</v>
      </c>
      <c r="S17" s="119">
        <f>'final WP and GM'!N14</f>
        <v>45862</v>
      </c>
      <c r="T17" s="113" t="s">
        <v>116</v>
      </c>
      <c r="U17" s="99">
        <f t="shared" si="4"/>
        <v>1.0083371773897835E-2</v>
      </c>
      <c r="V17" s="111">
        <f t="shared" ca="1" si="5"/>
        <v>0.20278156433799324</v>
      </c>
      <c r="X17" s="124">
        <f ca="1">W19*(-0.000027*24.815^2+0.00134*24.815-0.004008)</f>
        <v>2.3139424065151547E-3</v>
      </c>
    </row>
    <row r="18" spans="1:25" x14ac:dyDescent="0.4">
      <c r="A18" s="113" t="s">
        <v>118</v>
      </c>
      <c r="B18" s="113">
        <v>22</v>
      </c>
      <c r="C18" s="113">
        <v>20</v>
      </c>
      <c r="D18" s="113">
        <v>2</v>
      </c>
      <c r="E18" s="114">
        <f>'characterization &amp; setup'!$C$221</f>
        <v>1.1015441043878984</v>
      </c>
      <c r="F18" s="114">
        <f>'characterization &amp; setup'!$C$223</f>
        <v>51.215938689641341</v>
      </c>
      <c r="G18" s="114">
        <f>'final WP and GM'!I18</f>
        <v>6.7245119305858053E-2</v>
      </c>
      <c r="H18" s="115">
        <f t="shared" si="0"/>
        <v>7.4073464720228785E-2</v>
      </c>
      <c r="I18" s="116">
        <f t="shared" si="1"/>
        <v>14.46297121860826</v>
      </c>
      <c r="J18" s="117">
        <v>-1.83</v>
      </c>
      <c r="K18" s="118">
        <f ca="1">'H2 uptake rates'!$S$214</f>
        <v>3.1804469069468583E-3</v>
      </c>
      <c r="L18" s="118">
        <f ca="1">ABS('H2 uptake rates'!$T$214)</f>
        <v>3.1858785630478029E-3</v>
      </c>
      <c r="M18" s="113">
        <v>2</v>
      </c>
      <c r="N18" s="106">
        <f t="shared" ca="1" si="6"/>
        <v>1.5902234534734291E-3</v>
      </c>
      <c r="O18" s="106">
        <f t="shared" ca="1" si="7"/>
        <v>1.5929392815239014E-3</v>
      </c>
      <c r="P18" s="97">
        <f>'characterization &amp; setup'!$B$230</f>
        <v>3.5938467312057734</v>
      </c>
      <c r="Q18" s="108">
        <f t="shared" ca="1" si="2"/>
        <v>4.424850508134754E-2</v>
      </c>
      <c r="R18" s="108">
        <f t="shared" ca="1" si="3"/>
        <v>4.4324073914789722E-2</v>
      </c>
      <c r="S18" s="119">
        <f>'final WP and GM'!N15</f>
        <v>45862</v>
      </c>
      <c r="T18" s="113" t="s">
        <v>116</v>
      </c>
      <c r="U18" s="99">
        <f t="shared" si="4"/>
        <v>9.7245879482372143E-3</v>
      </c>
      <c r="V18" s="111">
        <f t="shared" ca="1" si="5"/>
        <v>0.16352604983758623</v>
      </c>
      <c r="X18" s="124"/>
    </row>
    <row r="19" spans="1:25" x14ac:dyDescent="0.4">
      <c r="A19" s="113" t="s">
        <v>118</v>
      </c>
      <c r="B19" s="113">
        <v>22</v>
      </c>
      <c r="C19" s="113">
        <v>20</v>
      </c>
      <c r="D19" s="113">
        <v>3</v>
      </c>
      <c r="E19" s="114">
        <f>'characterization &amp; setup'!$C$221</f>
        <v>1.1015441043878984</v>
      </c>
      <c r="F19" s="114">
        <f>'characterization &amp; setup'!$C$223</f>
        <v>51.215938689641341</v>
      </c>
      <c r="G19" s="114">
        <f>'final WP and GM'!I19</f>
        <v>7.4577979339884748E-2</v>
      </c>
      <c r="H19" s="115">
        <f t="shared" si="0"/>
        <v>8.2150933459012532E-2</v>
      </c>
      <c r="I19" s="116">
        <f t="shared" si="1"/>
        <v>16.040110864086916</v>
      </c>
      <c r="J19" s="117">
        <v>-1.57</v>
      </c>
      <c r="K19" s="118">
        <f ca="1">'H2 uptake rates'!$S$227</f>
        <v>3.8751736876967194E-3</v>
      </c>
      <c r="L19" s="118">
        <f ca="1">ABS('H2 uptake rates'!$T$227)</f>
        <v>3.1443802283733727E-3</v>
      </c>
      <c r="M19" s="113">
        <v>2</v>
      </c>
      <c r="N19" s="106">
        <f t="shared" ca="1" si="6"/>
        <v>1.9375868438483597E-3</v>
      </c>
      <c r="O19" s="106">
        <f t="shared" ca="1" si="7"/>
        <v>1.5721901141866864E-3</v>
      </c>
      <c r="P19" s="97">
        <f>'characterization &amp; setup'!$B$230</f>
        <v>3.5938467312057734</v>
      </c>
      <c r="Q19" s="108">
        <f t="shared" ca="1" si="2"/>
        <v>5.3914008825809857E-2</v>
      </c>
      <c r="R19" s="108">
        <f t="shared" ca="1" si="3"/>
        <v>4.3746721320505506E-2</v>
      </c>
      <c r="S19" s="119">
        <f>'final WP and GM'!N16</f>
        <v>45862</v>
      </c>
      <c r="T19" s="113" t="s">
        <v>116</v>
      </c>
      <c r="U19" s="99">
        <f t="shared" si="4"/>
        <v>1.0539049331507091E-2</v>
      </c>
      <c r="V19" s="111">
        <f t="shared" ca="1" si="5"/>
        <v>0.18384835129823646</v>
      </c>
      <c r="W19" s="111">
        <f ca="1">AVERAGE(V17:V19)</f>
        <v>0.18338532182460532</v>
      </c>
      <c r="X19" s="124"/>
    </row>
    <row r="20" spans="1:25" x14ac:dyDescent="0.4">
      <c r="A20" s="113" t="s">
        <v>119</v>
      </c>
      <c r="B20" s="113">
        <v>22</v>
      </c>
      <c r="C20" s="113">
        <v>20</v>
      </c>
      <c r="D20" s="113">
        <v>1</v>
      </c>
      <c r="E20" s="114">
        <f>'characterization &amp; setup'!$C$268</f>
        <v>1.3765271569777184</v>
      </c>
      <c r="F20" s="114">
        <f>'characterization &amp; setup'!$C$270</f>
        <v>42.52496213036666</v>
      </c>
      <c r="G20" s="114">
        <f>'final WP and GM'!I20</f>
        <v>0.11893203883495213</v>
      </c>
      <c r="H20" s="115">
        <f t="shared" si="0"/>
        <v>0.16371318129104026</v>
      </c>
      <c r="I20" s="116">
        <f t="shared" si="1"/>
        <v>38.498136879970147</v>
      </c>
      <c r="J20" s="117">
        <v>-0.15</v>
      </c>
      <c r="K20" s="118">
        <f ca="1">'H2 uptake rates'!$S$241</f>
        <v>7.5852367756458041E-3</v>
      </c>
      <c r="L20" s="118">
        <f ca="1">ABS('H2 uptake rates'!$T$241)</f>
        <v>5.5696199376599181E-3</v>
      </c>
      <c r="M20" s="113">
        <v>2</v>
      </c>
      <c r="N20" s="106">
        <f t="shared" ca="1" si="6"/>
        <v>3.792618387822902E-3</v>
      </c>
      <c r="O20" s="106">
        <f t="shared" ca="1" si="7"/>
        <v>2.784809968829959E-3</v>
      </c>
      <c r="P20" s="97">
        <f>'characterization &amp; setup'!$B$277</f>
        <v>1.8613494997599391</v>
      </c>
      <c r="Q20" s="108">
        <f t="shared" ca="1" si="2"/>
        <v>0.20375638150234768</v>
      </c>
      <c r="R20" s="108">
        <f t="shared" ca="1" si="3"/>
        <v>0.14961241664658462</v>
      </c>
      <c r="S20" s="119">
        <f>'final WP and GM'!N20</f>
        <v>45868</v>
      </c>
      <c r="T20" s="113" t="s">
        <v>116</v>
      </c>
      <c r="U20" s="99">
        <f t="shared" si="4"/>
        <v>7.5626267519792222E-3</v>
      </c>
      <c r="V20" s="111">
        <f t="shared" ca="1" si="5"/>
        <v>0.50149485254317649</v>
      </c>
    </row>
    <row r="21" spans="1:25" x14ac:dyDescent="0.4">
      <c r="A21" s="113" t="s">
        <v>119</v>
      </c>
      <c r="B21" s="113">
        <v>22</v>
      </c>
      <c r="C21" s="113">
        <v>20</v>
      </c>
      <c r="D21" s="113">
        <v>2</v>
      </c>
      <c r="E21" s="114">
        <f>'characterization &amp; setup'!$C$268</f>
        <v>1.3765271569777184</v>
      </c>
      <c r="F21" s="114">
        <f>'characterization &amp; setup'!$C$270</f>
        <v>42.52496213036666</v>
      </c>
      <c r="G21" s="114">
        <f>'final WP and GM'!I21</f>
        <v>0.10761305094447648</v>
      </c>
      <c r="H21" s="115">
        <f t="shared" si="0"/>
        <v>0.1481322870702986</v>
      </c>
      <c r="I21" s="116">
        <f t="shared" si="1"/>
        <v>34.834196116665971</v>
      </c>
      <c r="J21" s="117">
        <v>-0.3</v>
      </c>
      <c r="K21" s="118">
        <f ca="1">'H2 uptake rates'!$S$254</f>
        <v>8.4868582152471898E-3</v>
      </c>
      <c r="L21" s="118">
        <f ca="1">ABS('H2 uptake rates'!$T$254)</f>
        <v>6.7293745591853913E-3</v>
      </c>
      <c r="M21" s="113">
        <v>2</v>
      </c>
      <c r="N21" s="106">
        <f t="shared" ca="1" si="6"/>
        <v>4.2434291076235949E-3</v>
      </c>
      <c r="O21" s="106">
        <f t="shared" ca="1" si="7"/>
        <v>3.3646872795926957E-3</v>
      </c>
      <c r="P21" s="97">
        <f>'characterization &amp; setup'!$B$277</f>
        <v>1.8613494997599391</v>
      </c>
      <c r="Q21" s="108">
        <f t="shared" ca="1" si="2"/>
        <v>0.22797594477398658</v>
      </c>
      <c r="R21" s="108">
        <f t="shared" ca="1" si="3"/>
        <v>0.18076601304734247</v>
      </c>
      <c r="S21" s="119">
        <f>'final WP and GM'!N21</f>
        <v>45868</v>
      </c>
      <c r="T21" s="113" t="s">
        <v>116</v>
      </c>
      <c r="U21" s="99">
        <f t="shared" si="4"/>
        <v>9.9074498807850443E-3</v>
      </c>
      <c r="V21" s="111">
        <f t="shared" ca="1" si="5"/>
        <v>0.42830689619268153</v>
      </c>
      <c r="X21" s="77">
        <f>AVERAGE(I20:I22)</f>
        <v>35.819123916925413</v>
      </c>
      <c r="Y21" t="s">
        <v>126</v>
      </c>
    </row>
    <row r="22" spans="1:25" x14ac:dyDescent="0.4">
      <c r="A22" s="113" t="s">
        <v>119</v>
      </c>
      <c r="B22" s="113">
        <v>22</v>
      </c>
      <c r="C22" s="113">
        <v>20</v>
      </c>
      <c r="D22" s="113">
        <v>3</v>
      </c>
      <c r="E22" s="114">
        <f>'characterization &amp; setup'!$C$268</f>
        <v>1.3765271569777184</v>
      </c>
      <c r="F22" s="114">
        <f>'characterization &amp; setup'!$C$270</f>
        <v>42.52496213036666</v>
      </c>
      <c r="G22" s="114">
        <f>'final WP and GM'!I22</f>
        <v>0.10542225580955925</v>
      </c>
      <c r="H22" s="115">
        <f t="shared" si="0"/>
        <v>0.14511659807171035</v>
      </c>
      <c r="I22" s="116">
        <f t="shared" si="1"/>
        <v>34.125038754140128</v>
      </c>
      <c r="J22" s="117">
        <v>-0.28999999999999998</v>
      </c>
      <c r="K22" s="118">
        <f ca="1">'H2 uptake rates'!$S$267</f>
        <v>8.0525730613683483E-3</v>
      </c>
      <c r="L22" s="118">
        <f ca="1">ABS('H2 uptake rates'!$T$267)</f>
        <v>8.6486579645376378E-3</v>
      </c>
      <c r="M22" s="113">
        <v>2</v>
      </c>
      <c r="N22" s="106">
        <f t="shared" ca="1" si="6"/>
        <v>4.0262865306841741E-3</v>
      </c>
      <c r="O22" s="106">
        <f t="shared" ca="1" si="7"/>
        <v>4.3243289822688189E-3</v>
      </c>
      <c r="P22" s="97">
        <f>'characterization &amp; setup'!$B$277</f>
        <v>1.8613494997599391</v>
      </c>
      <c r="Q22" s="108">
        <f t="shared" ca="1" si="2"/>
        <v>0.21631007670528557</v>
      </c>
      <c r="R22" s="108">
        <f t="shared" ca="1" si="3"/>
        <v>0.23232224699480314</v>
      </c>
      <c r="S22" s="119">
        <f>'final WP and GM'!N22</f>
        <v>45868</v>
      </c>
      <c r="T22" s="113" t="s">
        <v>116</v>
      </c>
      <c r="U22" s="99">
        <f t="shared" si="4"/>
        <v>1.0277558641315503E-2</v>
      </c>
      <c r="V22" s="111">
        <f t="shared" ca="1" si="5"/>
        <v>0.39175515034267117</v>
      </c>
      <c r="X22" s="61">
        <f ca="1">AVERAGE(N20:N22)</f>
        <v>4.0207780087102235E-3</v>
      </c>
      <c r="Y22" t="s">
        <v>125</v>
      </c>
    </row>
    <row r="23" spans="1:25" x14ac:dyDescent="0.4">
      <c r="A23" s="113" t="s">
        <v>120</v>
      </c>
      <c r="B23" s="113">
        <v>22</v>
      </c>
      <c r="C23" s="113">
        <v>20</v>
      </c>
      <c r="D23" s="113">
        <v>1</v>
      </c>
      <c r="E23" s="114">
        <f>'characterization &amp; setup'!$C$315</f>
        <v>1.2980779325255163</v>
      </c>
      <c r="F23" s="114">
        <f>'characterization &amp; setup'!$C$317</f>
        <v>44.668459824146787</v>
      </c>
      <c r="G23" s="114">
        <f>'final WP and GM'!I23</f>
        <v>0.10995706965794426</v>
      </c>
      <c r="H23" s="115">
        <f t="shared" si="0"/>
        <v>0.14273284564814845</v>
      </c>
      <c r="I23" s="116">
        <f t="shared" si="1"/>
        <v>31.953831900644627</v>
      </c>
      <c r="J23" s="117">
        <v>-0.44</v>
      </c>
      <c r="K23" s="118">
        <f ca="1">'H2 uptake rates'!$S$280</f>
        <v>2.5973515437430214E-3</v>
      </c>
      <c r="L23" s="118">
        <f ca="1">ABS('H2 uptake rates'!$T$280)</f>
        <v>1.4044846596768716E-3</v>
      </c>
      <c r="M23" s="113">
        <v>2</v>
      </c>
      <c r="N23" s="106">
        <f t="shared" ca="1" si="6"/>
        <v>1.2986757718715107E-3</v>
      </c>
      <c r="O23" s="106">
        <f t="shared" ca="1" si="7"/>
        <v>7.0224232983843581E-4</v>
      </c>
      <c r="P23" s="97">
        <f>'characterization &amp; setup'!$B$324</f>
        <v>2.1535725198073421</v>
      </c>
      <c r="Q23" s="108">
        <f t="shared" ca="1" si="2"/>
        <v>6.0303322034759702E-2</v>
      </c>
      <c r="R23" s="108">
        <f t="shared" ca="1" si="3"/>
        <v>3.2608250865926641E-2</v>
      </c>
      <c r="S23" s="119">
        <f>'final WP and GM'!N23</f>
        <v>45868</v>
      </c>
      <c r="T23" s="113" t="s">
        <v>116</v>
      </c>
      <c r="U23" s="99">
        <f t="shared" si="4"/>
        <v>1.1241855672228136E-2</v>
      </c>
      <c r="V23" s="111">
        <f t="shared" ca="1" si="5"/>
        <v>0.11552147703512664</v>
      </c>
    </row>
    <row r="24" spans="1:25" x14ac:dyDescent="0.4">
      <c r="A24" s="113" t="s">
        <v>120</v>
      </c>
      <c r="B24" s="113">
        <v>22</v>
      </c>
      <c r="C24" s="113">
        <v>20</v>
      </c>
      <c r="D24" s="113">
        <v>2</v>
      </c>
      <c r="E24" s="114">
        <f>'characterization &amp; setup'!$C$315</f>
        <v>1.2980779325255163</v>
      </c>
      <c r="F24" s="114">
        <f>'characterization &amp; setup'!$C$317</f>
        <v>44.668459824146787</v>
      </c>
      <c r="G24" s="114">
        <f>'final WP and GM'!I24</f>
        <v>0.10512483574244177</v>
      </c>
      <c r="H24" s="115">
        <f t="shared" si="0"/>
        <v>0.13646022943763331</v>
      </c>
      <c r="I24" s="116">
        <f t="shared" si="1"/>
        <v>30.549571213079055</v>
      </c>
      <c r="J24" s="117">
        <v>-0.79</v>
      </c>
      <c r="K24" s="118">
        <f ca="1">'H2 uptake rates'!$S$293</f>
        <v>1.8700691154427687E-3</v>
      </c>
      <c r="L24" s="118">
        <f ca="1">ABS('H2 uptake rates'!$T$293)</f>
        <v>3.3351343253007638E-3</v>
      </c>
      <c r="M24" s="113">
        <v>2</v>
      </c>
      <c r="N24" s="106">
        <f t="shared" ca="1" si="6"/>
        <v>9.3503455772138433E-4</v>
      </c>
      <c r="O24" s="106">
        <f t="shared" ca="1" si="7"/>
        <v>1.6675671626503819E-3</v>
      </c>
      <c r="P24" s="97">
        <f>'characterization &amp; setup'!$B$324</f>
        <v>2.1535725198073421</v>
      </c>
      <c r="Q24" s="108">
        <f t="shared" ca="1" si="2"/>
        <v>4.341783474303583E-2</v>
      </c>
      <c r="R24" s="108">
        <f t="shared" ca="1" si="3"/>
        <v>7.7432598499146979E-2</v>
      </c>
      <c r="S24" s="119">
        <f>'final WP and GM'!N24</f>
        <v>45868</v>
      </c>
      <c r="T24" s="113" t="s">
        <v>116</v>
      </c>
      <c r="U24" s="99">
        <f t="shared" si="4"/>
        <v>1.1729965290345243E-2</v>
      </c>
      <c r="V24" s="111">
        <f t="shared" ca="1" si="5"/>
        <v>7.9713326900549067E-2</v>
      </c>
      <c r="X24" s="77">
        <f>AVERAGE(I23:I25)</f>
        <v>29.295303069173144</v>
      </c>
      <c r="Y24" t="s">
        <v>126</v>
      </c>
    </row>
    <row r="25" spans="1:25" x14ac:dyDescent="0.4">
      <c r="A25" s="113" t="s">
        <v>120</v>
      </c>
      <c r="B25" s="113">
        <v>22</v>
      </c>
      <c r="C25" s="113">
        <v>20</v>
      </c>
      <c r="D25" s="113">
        <v>3</v>
      </c>
      <c r="E25" s="114">
        <f>'characterization &amp; setup'!$C$315</f>
        <v>1.2980779325255163</v>
      </c>
      <c r="F25" s="114">
        <f>'characterization &amp; setup'!$C$317</f>
        <v>44.668459824146787</v>
      </c>
      <c r="G25" s="114">
        <f>'final WP and GM'!I25</f>
        <v>8.7344328508919433E-2</v>
      </c>
      <c r="H25" s="115">
        <f t="shared" si="0"/>
        <v>0.11337974536868765</v>
      </c>
      <c r="I25" s="116">
        <f t="shared" si="1"/>
        <v>25.382506093795751</v>
      </c>
      <c r="J25" s="117">
        <v>-1.1100000000000001</v>
      </c>
      <c r="K25" s="118">
        <f ca="1">'H2 uptake rates'!$S$306</f>
        <v>1.474587943222915E-3</v>
      </c>
      <c r="L25" s="118">
        <f ca="1">ABS('H2 uptake rates'!$T$306)</f>
        <v>2.4331047685663453E-4</v>
      </c>
      <c r="M25" s="113">
        <v>2</v>
      </c>
      <c r="N25" s="106">
        <f t="shared" ca="1" si="6"/>
        <v>7.372939716114575E-4</v>
      </c>
      <c r="O25" s="106">
        <f t="shared" ca="1" si="7"/>
        <v>1.2165523842831726E-4</v>
      </c>
      <c r="P25" s="97">
        <f>'characterization &amp; setup'!$B$324</f>
        <v>2.1535725198073421</v>
      </c>
      <c r="Q25" s="108">
        <f t="shared" ca="1" si="2"/>
        <v>3.423585529766212E-2</v>
      </c>
      <c r="R25" s="108">
        <f t="shared" ca="1" si="3"/>
        <v>5.6489966002723933E-3</v>
      </c>
      <c r="S25" s="119">
        <f>'final WP and GM'!N25</f>
        <v>45868</v>
      </c>
      <c r="T25" s="113" t="s">
        <v>116</v>
      </c>
      <c r="U25" s="99">
        <f t="shared" si="4"/>
        <v>1.260922454444369E-2</v>
      </c>
      <c r="V25" s="111">
        <f t="shared" ca="1" si="5"/>
        <v>5.8472586399958219E-2</v>
      </c>
      <c r="X25" s="61">
        <f ca="1">AVERAGE(N23:N25)</f>
        <v>9.9033476706811741E-4</v>
      </c>
      <c r="Y25" t="s">
        <v>125</v>
      </c>
    </row>
  </sheetData>
  <mergeCells count="6">
    <mergeCell ref="X17:X19"/>
    <mergeCell ref="X2:X4"/>
    <mergeCell ref="X5:X7"/>
    <mergeCell ref="X8:X10"/>
    <mergeCell ref="X11:X13"/>
    <mergeCell ref="X14:X16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characterization &amp; setup</vt:lpstr>
      <vt:lpstr>H2 uptake rates</vt:lpstr>
      <vt:lpstr>final WP and GM</vt:lpstr>
      <vt:lpstr>k vs %Sat or WP</vt:lpstr>
      <vt:lpstr>'final WP and GM'!Print_Area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Qianhui Qin</dc:creator>
  <cp:keywords/>
  <dc:description/>
  <cp:lastModifiedBy>Collin Guedel</cp:lastModifiedBy>
  <cp:revision/>
  <dcterms:created xsi:type="dcterms:W3CDTF">2024-11-20T18:15:00Z</dcterms:created>
  <dcterms:modified xsi:type="dcterms:W3CDTF">2026-03-23T03:42:04Z</dcterms:modified>
  <cp:category/>
  <cp:contentStatus/>
</cp:coreProperties>
</file>