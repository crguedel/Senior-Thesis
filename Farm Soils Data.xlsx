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princetonu-my.sharepoint.com/personal/cg3403_princeton_edu/Documents/Undergraduate Research/Thesis Files/Thesis Rmd Doc/"/>
    </mc:Choice>
  </mc:AlternateContent>
  <xr:revisionPtr revIDLastSave="1147" documentId="11_F25DC773A252ABDACC1048EB41DB448A5ADE58EE" xr6:coauthVersionLast="47" xr6:coauthVersionMax="47" xr10:uidLastSave="{FE5CCEA6-D7B5-460D-A573-858F1F2598D6}"/>
  <bookViews>
    <workbookView xWindow="-110" yWindow="-110" windowWidth="19420" windowHeight="10300" tabRatio="884" activeTab="2" xr2:uid="{00000000-000D-0000-FFFF-FFFF00000000}"/>
  </bookViews>
  <sheets>
    <sheet name="Characterization" sheetId="1" r:id="rId1"/>
    <sheet name="Oven Drying &amp; Combustion" sheetId="2" r:id="rId2"/>
    <sheet name="Trial Metadata" sheetId="7" r:id="rId3"/>
    <sheet name="Soil Sample Management" sheetId="6" r:id="rId4"/>
    <sheet name="01-28-26 Soy-UD" sheetId="5" r:id="rId5"/>
    <sheet name="H Calibration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1" l="1"/>
  <c r="Q2" i="1"/>
  <c r="Q3" i="1"/>
  <c r="Q4" i="1"/>
  <c r="Q5" i="1"/>
  <c r="L2" i="2"/>
  <c r="P2" i="1"/>
  <c r="L2" i="7" l="1"/>
  <c r="V4" i="1"/>
  <c r="V5" i="1"/>
  <c r="V3" i="1"/>
  <c r="V2" i="1"/>
  <c r="L11" i="7"/>
  <c r="L10" i="7"/>
  <c r="U3" i="1"/>
  <c r="U2" i="1"/>
  <c r="L4" i="7"/>
  <c r="L5" i="7"/>
  <c r="L7" i="7"/>
  <c r="L8" i="7"/>
  <c r="L9" i="7"/>
  <c r="L12" i="7"/>
  <c r="L13" i="7"/>
  <c r="E4" i="7"/>
  <c r="E5" i="7"/>
  <c r="E6" i="7"/>
  <c r="E7" i="7"/>
  <c r="E8" i="7"/>
  <c r="E9" i="7"/>
  <c r="E10" i="7"/>
  <c r="E11" i="7"/>
  <c r="E12" i="7"/>
  <c r="E13" i="7"/>
  <c r="E3" i="7"/>
  <c r="E2" i="7"/>
  <c r="I2" i="2"/>
  <c r="I6" i="7"/>
  <c r="L6" i="7" s="1"/>
  <c r="K3" i="7"/>
  <c r="L3" i="7" s="1"/>
  <c r="F19" i="7"/>
  <c r="F18" i="7"/>
  <c r="F17" i="7"/>
  <c r="F16" i="7"/>
  <c r="F15" i="7"/>
  <c r="F14" i="7"/>
  <c r="F10" i="7"/>
  <c r="F9" i="7"/>
  <c r="F8" i="7"/>
  <c r="F13" i="7"/>
  <c r="F12" i="7"/>
  <c r="F11" i="7"/>
  <c r="F3" i="7"/>
  <c r="F7" i="7"/>
  <c r="F6" i="7"/>
  <c r="F5" i="7"/>
  <c r="F4" i="7"/>
  <c r="F2" i="7"/>
  <c r="B9" i="7"/>
  <c r="B10" i="7"/>
  <c r="B11" i="7"/>
  <c r="N11" i="7" s="1"/>
  <c r="B12" i="7"/>
  <c r="N12" i="7" s="1"/>
  <c r="B13" i="7"/>
  <c r="N13" i="7" s="1"/>
  <c r="B8" i="7"/>
  <c r="N8" i="7" s="1"/>
  <c r="B14" i="7"/>
  <c r="B15" i="7"/>
  <c r="B16" i="7"/>
  <c r="B17" i="7"/>
  <c r="B18" i="7"/>
  <c r="B19" i="7"/>
  <c r="B3" i="7"/>
  <c r="N3" i="7" s="1"/>
  <c r="B4" i="7"/>
  <c r="N4" i="7" s="1"/>
  <c r="B5" i="7"/>
  <c r="B6" i="7"/>
  <c r="B7" i="7"/>
  <c r="N7" i="7" s="1"/>
  <c r="B2" i="7"/>
  <c r="N2" i="7" s="1"/>
  <c r="I15" i="4"/>
  <c r="I10" i="4"/>
  <c r="I6" i="4"/>
  <c r="F15" i="4"/>
  <c r="E15" i="4"/>
  <c r="F10" i="4"/>
  <c r="E10" i="4"/>
  <c r="G6" i="4"/>
  <c r="H6" i="4"/>
  <c r="E6" i="4"/>
  <c r="F6" i="4"/>
  <c r="U4" i="1"/>
  <c r="U5" i="1"/>
  <c r="T3" i="1"/>
  <c r="T4" i="1"/>
  <c r="T5" i="1"/>
  <c r="P5" i="1"/>
  <c r="P4" i="1"/>
  <c r="P3" i="1"/>
  <c r="I3" i="2"/>
  <c r="I4" i="2"/>
  <c r="I5" i="2"/>
  <c r="I6" i="2"/>
  <c r="I7" i="2"/>
  <c r="I8" i="2"/>
  <c r="I9" i="2"/>
  <c r="I10" i="2"/>
  <c r="I11" i="2"/>
  <c r="I12" i="2"/>
  <c r="I13" i="2"/>
  <c r="K3" i="2"/>
  <c r="K4" i="2"/>
  <c r="K5" i="2"/>
  <c r="K6" i="2"/>
  <c r="K7" i="2"/>
  <c r="K8" i="2"/>
  <c r="K9" i="2"/>
  <c r="K10" i="2"/>
  <c r="K11" i="2"/>
  <c r="K12" i="2"/>
  <c r="K13" i="2"/>
  <c r="G2" i="2"/>
  <c r="K2" i="2"/>
  <c r="G3" i="2"/>
  <c r="G4" i="2"/>
  <c r="G5" i="2"/>
  <c r="G6" i="2"/>
  <c r="G7" i="2"/>
  <c r="G8" i="2"/>
  <c r="G9" i="2"/>
  <c r="G10" i="2"/>
  <c r="G11" i="2"/>
  <c r="G12" i="2"/>
  <c r="G13" i="2"/>
  <c r="E3" i="2"/>
  <c r="E4" i="2"/>
  <c r="H4" i="2" s="1"/>
  <c r="E5" i="2"/>
  <c r="E6" i="2"/>
  <c r="E7" i="2"/>
  <c r="E8" i="2"/>
  <c r="E9" i="2"/>
  <c r="E10" i="2"/>
  <c r="E11" i="2"/>
  <c r="E12" i="2"/>
  <c r="E13" i="2"/>
  <c r="A13" i="2"/>
  <c r="A12" i="2"/>
  <c r="A11" i="2"/>
  <c r="A10" i="2"/>
  <c r="A9" i="2"/>
  <c r="A8" i="2"/>
  <c r="A7" i="2"/>
  <c r="A6" i="2"/>
  <c r="A5" i="2"/>
  <c r="A4" i="2"/>
  <c r="A3" i="2"/>
  <c r="A2" i="2"/>
  <c r="E2" i="2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E3" i="1"/>
  <c r="I3" i="1" s="1"/>
  <c r="E4" i="1"/>
  <c r="I4" i="1" s="1"/>
  <c r="E5" i="1"/>
  <c r="I5" i="1" s="1"/>
  <c r="E6" i="1"/>
  <c r="I6" i="1" s="1"/>
  <c r="E7" i="1"/>
  <c r="J7" i="1" s="1"/>
  <c r="E8" i="1"/>
  <c r="I8" i="1" s="1"/>
  <c r="E9" i="1"/>
  <c r="J9" i="1" s="1"/>
  <c r="E10" i="1"/>
  <c r="I10" i="1" s="1"/>
  <c r="E11" i="1"/>
  <c r="I11" i="1" s="1"/>
  <c r="E12" i="1"/>
  <c r="I12" i="1" s="1"/>
  <c r="E13" i="1"/>
  <c r="J13" i="1" s="1"/>
  <c r="E14" i="1"/>
  <c r="I14" i="1" s="1"/>
  <c r="E15" i="1"/>
  <c r="I15" i="1" s="1"/>
  <c r="E16" i="1"/>
  <c r="I16" i="1" s="1"/>
  <c r="E17" i="1"/>
  <c r="J17" i="1" s="1"/>
  <c r="E18" i="1"/>
  <c r="I18" i="1" s="1"/>
  <c r="E19" i="1"/>
  <c r="I19" i="1" s="1"/>
  <c r="E2" i="1"/>
  <c r="N10" i="7" l="1"/>
  <c r="N9" i="7"/>
  <c r="N6" i="7"/>
  <c r="N5" i="7"/>
  <c r="M12" i="7"/>
  <c r="M8" i="7"/>
  <c r="M11" i="7"/>
  <c r="M7" i="7"/>
  <c r="M9" i="7"/>
  <c r="M2" i="7"/>
  <c r="M10" i="7"/>
  <c r="M6" i="7"/>
  <c r="M5" i="7"/>
  <c r="M4" i="7"/>
  <c r="M3" i="7"/>
  <c r="M13" i="7"/>
  <c r="L11" i="2"/>
  <c r="L10" i="2"/>
  <c r="L9" i="2"/>
  <c r="L3" i="2"/>
  <c r="I9" i="1"/>
  <c r="J16" i="1"/>
  <c r="J8" i="1"/>
  <c r="K16" i="1"/>
  <c r="J3" i="1"/>
  <c r="K3" i="1" s="1"/>
  <c r="I17" i="1"/>
  <c r="K17" i="1" s="1"/>
  <c r="L8" i="2"/>
  <c r="L7" i="2"/>
  <c r="H3" i="2"/>
  <c r="L6" i="2"/>
  <c r="L13" i="2"/>
  <c r="R5" i="1" s="1"/>
  <c r="S5" i="1" s="1"/>
  <c r="L5" i="2"/>
  <c r="R3" i="1" s="1"/>
  <c r="S3" i="1" s="1"/>
  <c r="H2" i="2"/>
  <c r="L2" i="1" s="1"/>
  <c r="L12" i="2"/>
  <c r="L4" i="2"/>
  <c r="K9" i="1"/>
  <c r="K8" i="1"/>
  <c r="J15" i="1"/>
  <c r="K15" i="1" s="1"/>
  <c r="I7" i="1"/>
  <c r="K7" i="1" s="1"/>
  <c r="J6" i="1"/>
  <c r="K6" i="1" s="1"/>
  <c r="J4" i="1"/>
  <c r="I13" i="1"/>
  <c r="K13" i="1" s="1"/>
  <c r="J12" i="1"/>
  <c r="K12" i="1" s="1"/>
  <c r="J14" i="1"/>
  <c r="K14" i="1" s="1"/>
  <c r="J19" i="1"/>
  <c r="K19" i="1" s="1"/>
  <c r="J11" i="1"/>
  <c r="K11" i="1" s="1"/>
  <c r="J18" i="1"/>
  <c r="K18" i="1" s="1"/>
  <c r="J10" i="1"/>
  <c r="K10" i="1" s="1"/>
  <c r="J5" i="1"/>
  <c r="K5" i="1" s="1"/>
  <c r="K4" i="1"/>
  <c r="J2" i="1"/>
  <c r="I2" i="1"/>
  <c r="K2" i="1" s="1"/>
  <c r="H13" i="2"/>
  <c r="H12" i="2"/>
  <c r="H11" i="2"/>
  <c r="H10" i="2"/>
  <c r="H9" i="2"/>
  <c r="H8" i="2"/>
  <c r="L4" i="1" s="1"/>
  <c r="H7" i="2"/>
  <c r="H6" i="2"/>
  <c r="H5" i="2"/>
  <c r="R4" i="1" l="1"/>
  <c r="S4" i="1" s="1"/>
  <c r="O2" i="1"/>
  <c r="M2" i="1"/>
  <c r="N2" i="1"/>
  <c r="M4" i="1"/>
  <c r="O4" i="1"/>
  <c r="N4" i="1"/>
  <c r="L5" i="1"/>
  <c r="L3" i="1"/>
  <c r="R2" i="1"/>
  <c r="S2" i="1" s="1"/>
  <c r="M3" i="1" l="1"/>
  <c r="O3" i="1"/>
  <c r="N3" i="1"/>
  <c r="M5" i="1"/>
  <c r="O5" i="1"/>
  <c r="N5" i="1"/>
</calcChain>
</file>

<file path=xl/sharedStrings.xml><?xml version="1.0" encoding="utf-8"?>
<sst xmlns="http://schemas.openxmlformats.org/spreadsheetml/2006/main" count="165" uniqueCount="118">
  <si>
    <t>Soybean Undisturbed</t>
  </si>
  <si>
    <t>Soybean Center</t>
  </si>
  <si>
    <t>Rosemary</t>
  </si>
  <si>
    <t>Oregano</t>
  </si>
  <si>
    <t>Mass Grad Cyl + Soil</t>
  </si>
  <si>
    <t>Mass Soil</t>
  </si>
  <si>
    <t>Volume Water</t>
  </si>
  <si>
    <t>Volume Soil + Water</t>
  </si>
  <si>
    <t>Volume Soil Particles</t>
  </si>
  <si>
    <t>Soil Type</t>
  </si>
  <si>
    <t>Replicate</t>
  </si>
  <si>
    <t>Mass Can+Lid</t>
  </si>
  <si>
    <t>Mass Can+Lid+Soil</t>
  </si>
  <si>
    <t>Mass Can+Lid+Soil after 105 C overnight</t>
  </si>
  <si>
    <t>Mass Can+Lid+Soil after 505 C for 3 Hours</t>
  </si>
  <si>
    <t>Mass Soil after 105 C Overnight</t>
  </si>
  <si>
    <t>Mass Soil After 505 C overnight</t>
  </si>
  <si>
    <t>Avg. % OM</t>
  </si>
  <si>
    <t>Avg % SOC</t>
  </si>
  <si>
    <t>Volume Soil mL</t>
  </si>
  <si>
    <t>Mass Grad Cyl g</t>
  </si>
  <si>
    <t>Porosity Air Dry %</t>
  </si>
  <si>
    <t>Bulk Density Air Dry g/ml</t>
  </si>
  <si>
    <t>Particle Mass Density Air Dry g/ml</t>
  </si>
  <si>
    <t>Bulk Density 105 g/ml</t>
  </si>
  <si>
    <t>PMD 105 g/ml</t>
  </si>
  <si>
    <t>Porosity 105 %</t>
  </si>
  <si>
    <t>gram Water per gram air dry soil</t>
  </si>
  <si>
    <t>gram Water per gram 105 soil</t>
  </si>
  <si>
    <t>GM 105</t>
  </si>
  <si>
    <t>Base Sat. %</t>
  </si>
  <si>
    <t>g Water to add for 25%</t>
  </si>
  <si>
    <t>g Water to add for 15%</t>
  </si>
  <si>
    <t>Avg. Mass g Water/Mass g Air Dry Soil</t>
  </si>
  <si>
    <t>Proportion OM per g dehydrated Soil</t>
  </si>
  <si>
    <t>Concentration</t>
  </si>
  <si>
    <t>H2 Area</t>
  </si>
  <si>
    <t>CO Area</t>
  </si>
  <si>
    <t>Date</t>
  </si>
  <si>
    <t>Soy-UD-15-1</t>
  </si>
  <si>
    <t>Identity</t>
  </si>
  <si>
    <t>Sampling time</t>
  </si>
  <si>
    <t>H Area</t>
  </si>
  <si>
    <t>Co Area</t>
  </si>
  <si>
    <t>Timepoint</t>
  </si>
  <si>
    <t>Lab Air</t>
  </si>
  <si>
    <t>Soy-UD-15-2</t>
  </si>
  <si>
    <t>SOY-UD-15-3</t>
  </si>
  <si>
    <t>Average H2</t>
  </si>
  <si>
    <t>STD H2</t>
  </si>
  <si>
    <t>STD CO</t>
  </si>
  <si>
    <t>Avg CO</t>
  </si>
  <si>
    <t>Date of Bottling</t>
  </si>
  <si>
    <t>Date of Incubation</t>
  </si>
  <si>
    <t>Mass Soil (g)</t>
  </si>
  <si>
    <t>Mass CL (g)</t>
  </si>
  <si>
    <t>Mass CLS (g)</t>
  </si>
  <si>
    <t>Mass CLS 105 (g)</t>
  </si>
  <si>
    <t>Starved-UD-15-1</t>
  </si>
  <si>
    <t>Starved-UD-15-2</t>
  </si>
  <si>
    <t>Starved-UD-15-3</t>
  </si>
  <si>
    <t>Starved-UD-25-1</t>
  </si>
  <si>
    <t>Starved-UD-25-2</t>
  </si>
  <si>
    <t>Starved-UD-25-3</t>
  </si>
  <si>
    <t>Mass DNA (g) Soil</t>
  </si>
  <si>
    <t>(g) Water per (g) 105 soil</t>
  </si>
  <si>
    <t>Saturation</t>
  </si>
  <si>
    <t>Soil Sample Name</t>
  </si>
  <si>
    <t>Sample Name</t>
  </si>
  <si>
    <t>Date of Sampling</t>
  </si>
  <si>
    <t>OM%105</t>
  </si>
  <si>
    <t>Samplers</t>
  </si>
  <si>
    <t>CG,QQ,XZ</t>
  </si>
  <si>
    <t>QQ</t>
  </si>
  <si>
    <t>CG,QQ,EO</t>
  </si>
  <si>
    <t>CG. EO</t>
  </si>
  <si>
    <t>CG,XZ,FP,EO</t>
  </si>
  <si>
    <t>FGF-Oregano</t>
  </si>
  <si>
    <t>FGF-Rosemary</t>
  </si>
  <si>
    <t>FGF-Sunflower</t>
  </si>
  <si>
    <t>FGF-Buckwheat</t>
  </si>
  <si>
    <t>FGF-Corn</t>
  </si>
  <si>
    <t>FGF-Sod</t>
  </si>
  <si>
    <t>Alexander-Rd-Soybean-Center</t>
  </si>
  <si>
    <t>Alexander-Rd-Soybean-Undisturbed</t>
  </si>
  <si>
    <t>Seed-Farm-Story-Garden-Old-Corn</t>
  </si>
  <si>
    <t>Seed-Farm-Story-Garden-Old-Chickpea</t>
  </si>
  <si>
    <t>Seed-Farm-Lower-Field-Collard-Greens</t>
  </si>
  <si>
    <t>Seed-Farm-Lower-Field-Winter-Cover-Crop</t>
  </si>
  <si>
    <t>Alexander-Rd-Soybean-Edge</t>
  </si>
  <si>
    <t>OFO-Front-Good</t>
  </si>
  <si>
    <t>OFO-Front-Bad-Empty</t>
  </si>
  <si>
    <t>OFO-Sod</t>
  </si>
  <si>
    <t>OFO-Back-Uphill</t>
  </si>
  <si>
    <t>OFO-Back-Downhill</t>
  </si>
  <si>
    <t>MOF-Cherry</t>
  </si>
  <si>
    <t>MOF-Asparagus</t>
  </si>
  <si>
    <t>Notes</t>
  </si>
  <si>
    <t>Plasticulture</t>
  </si>
  <si>
    <t>Young</t>
  </si>
  <si>
    <t>Formerly (mowed)</t>
  </si>
  <si>
    <t>Mass bottle SOC (g)</t>
  </si>
  <si>
    <t>Length Acclimation (days)</t>
  </si>
  <si>
    <t>Long-Soy-UD-15-1</t>
  </si>
  <si>
    <t>Long-Soy-UD-15-2</t>
  </si>
  <si>
    <t>Long-Soy-UD-15-3</t>
  </si>
  <si>
    <t>Long-Soy-UD-25-1</t>
  </si>
  <si>
    <t>Long-Soy-UD-25-2</t>
  </si>
  <si>
    <t>Long-Soy-UD-25-3</t>
  </si>
  <si>
    <t>Long-Soy-C-25-1</t>
  </si>
  <si>
    <t>Long-Soy-C-25-2</t>
  </si>
  <si>
    <t>Long-Soy-C-25-3</t>
  </si>
  <si>
    <t>Long-Soy-C-15-1</t>
  </si>
  <si>
    <t>Long-Soy-C-15-2</t>
  </si>
  <si>
    <t>Long-Soy-C-15-3</t>
  </si>
  <si>
    <t>bottle_id</t>
  </si>
  <si>
    <t>WP_mPa</t>
  </si>
  <si>
    <t>soil_type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</si>
</sst>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%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  <xf numFmtId="2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9" fontId="0" fillId="0" borderId="0" xfId="1" applyFont="1"/>
    <xf numFmtId="165" fontId="0" fillId="0" borderId="0" xfId="1" applyNumberFormat="1" applyFont="1"/>
    <xf numFmtId="166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9"/>
  <sheetViews>
    <sheetView topLeftCell="H1" workbookViewId="0">
      <selection activeCell="V2" sqref="V2"/>
    </sheetView>
  </sheetViews>
  <sheetFormatPr defaultRowHeight="14.5" x14ac:dyDescent="0.35"/>
  <cols>
    <col min="1" max="1" width="18.90625" bestFit="1" customWidth="1"/>
    <col min="2" max="2" width="9.7265625" bestFit="1" customWidth="1"/>
    <col min="3" max="3" width="7.1796875" bestFit="1" customWidth="1"/>
    <col min="4" max="4" width="9.7265625" bestFit="1" customWidth="1"/>
    <col min="5" max="5" width="5.1796875" bestFit="1" customWidth="1"/>
    <col min="6" max="6" width="7.1796875" bestFit="1" customWidth="1"/>
    <col min="7" max="7" width="7.7265625" customWidth="1"/>
    <col min="8" max="8" width="7.7265625" bestFit="1" customWidth="1"/>
    <col min="9" max="9" width="9.90625" customWidth="1"/>
    <col min="10" max="10" width="14" style="3" customWidth="1"/>
    <col min="11" max="11" width="7.54296875" bestFit="1" customWidth="1"/>
    <col min="12" max="12" width="11.1796875" style="2" bestFit="1" customWidth="1"/>
    <col min="13" max="14" width="11.1796875" style="2" customWidth="1"/>
    <col min="15" max="17" width="8.81640625" style="3" customWidth="1"/>
    <col min="18" max="18" width="7.90625" style="2" bestFit="1" customWidth="1"/>
    <col min="19" max="21" width="8.7265625" style="6"/>
    <col min="22" max="22" width="9.36328125" bestFit="1" customWidth="1"/>
  </cols>
  <sheetData>
    <row r="1" spans="1:22" s="1" customFormat="1" ht="58" x14ac:dyDescent="0.35">
      <c r="A1" s="1" t="s">
        <v>67</v>
      </c>
      <c r="B1" s="1" t="s">
        <v>20</v>
      </c>
      <c r="C1" s="1" t="s">
        <v>19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22</v>
      </c>
      <c r="J1" s="1" t="s">
        <v>23</v>
      </c>
      <c r="K1" s="1" t="s">
        <v>21</v>
      </c>
      <c r="L1" s="1" t="s">
        <v>33</v>
      </c>
      <c r="M1" s="1" t="s">
        <v>24</v>
      </c>
      <c r="N1" s="1" t="s">
        <v>25</v>
      </c>
      <c r="O1" s="1" t="s">
        <v>26</v>
      </c>
      <c r="P1" s="1" t="s">
        <v>29</v>
      </c>
      <c r="Q1" s="1" t="s">
        <v>30</v>
      </c>
      <c r="R1" s="1" t="s">
        <v>17</v>
      </c>
      <c r="S1" s="1" t="s">
        <v>18</v>
      </c>
      <c r="T1" s="1" t="s">
        <v>32</v>
      </c>
      <c r="U1" s="1" t="s">
        <v>31</v>
      </c>
    </row>
    <row r="2" spans="1:22" x14ac:dyDescent="0.35">
      <c r="A2" t="s">
        <v>0</v>
      </c>
      <c r="B2">
        <v>42.33</v>
      </c>
      <c r="C2">
        <v>50</v>
      </c>
      <c r="D2">
        <v>92.61</v>
      </c>
      <c r="E2">
        <f>D2-B2</f>
        <v>50.28</v>
      </c>
      <c r="F2">
        <v>50</v>
      </c>
      <c r="G2">
        <v>74</v>
      </c>
      <c r="H2">
        <f>G2-F2</f>
        <v>24</v>
      </c>
      <c r="I2">
        <f>E2/C2</f>
        <v>1.0056</v>
      </c>
      <c r="J2" s="3">
        <f>E2/H2</f>
        <v>2.0950000000000002</v>
      </c>
      <c r="K2">
        <f>100-(100*I2/J2)</f>
        <v>52</v>
      </c>
      <c r="L2" s="2">
        <f>AVERAGE('Oven Drying &amp; Combustion'!H2:H4)</f>
        <v>2.0454739731233226E-2</v>
      </c>
      <c r="M2" s="2">
        <f>I2*(1-$L2)</f>
        <v>0.98503071372627193</v>
      </c>
      <c r="N2" s="2">
        <f>J2*(1-$L2)</f>
        <v>2.0521473202630665</v>
      </c>
      <c r="O2" s="3">
        <f>K2*(1-$L2)</f>
        <v>50.936353533975868</v>
      </c>
      <c r="P2" s="2">
        <f>AVERAGE('Oven Drying &amp; Combustion'!I2:I4)</f>
        <v>2.0882128689861692E-2</v>
      </c>
      <c r="Q2" s="7">
        <f>P2*M2/(0.01*O2)</f>
        <v>4.0382824251009468E-2</v>
      </c>
      <c r="R2" s="7">
        <f>AVERAGE('Oven Drying &amp; Combustion'!L2:L4)</f>
        <v>8.2879580299641487E-2</v>
      </c>
      <c r="S2" s="7">
        <f>R2*0.58</f>
        <v>4.8070156573792058E-2</v>
      </c>
      <c r="T2" s="6">
        <f>15*$O2*(2*(1-$L2))*(10^-4)/$M2-(2*$L2)</f>
        <v>0.11104861580595798</v>
      </c>
      <c r="U2" s="6">
        <f>25*$O2*(2*(1-$L2))*(10^-4)/$M2-(2*$L2)</f>
        <v>0.21235401265157425</v>
      </c>
      <c r="V2" s="6">
        <f>Q2/P2</f>
        <v>1.9338461538461544</v>
      </c>
    </row>
    <row r="3" spans="1:22" x14ac:dyDescent="0.35">
      <c r="A3" t="s">
        <v>1</v>
      </c>
      <c r="B3">
        <v>121.07</v>
      </c>
      <c r="C3">
        <v>50</v>
      </c>
      <c r="D3">
        <v>177.42</v>
      </c>
      <c r="E3">
        <f t="shared" ref="E3:E19" si="0">D3-B3</f>
        <v>56.349999999999994</v>
      </c>
      <c r="F3">
        <v>50</v>
      </c>
      <c r="G3">
        <v>76</v>
      </c>
      <c r="H3">
        <f t="shared" ref="H3:H19" si="1">G3-F3</f>
        <v>26</v>
      </c>
      <c r="I3">
        <f t="shared" ref="I3:I19" si="2">E3/C3</f>
        <v>1.1269999999999998</v>
      </c>
      <c r="J3" s="3">
        <f t="shared" ref="J3:J19" si="3">E3/H3</f>
        <v>2.1673076923076922</v>
      </c>
      <c r="K3">
        <f t="shared" ref="K3:K19" si="4">100-(100*I3/J3)</f>
        <v>48.000000000000007</v>
      </c>
      <c r="L3" s="2">
        <f>AVERAGE('Oven Drying &amp; Combustion'!H5:H7)</f>
        <v>2.0842425915958248E-2</v>
      </c>
      <c r="M3" s="2">
        <f t="shared" ref="M3:O5" si="5">I3*(1-$L3)</f>
        <v>1.1035105859927148</v>
      </c>
      <c r="N3" s="2">
        <f t="shared" si="5"/>
        <v>2.1221357422936826</v>
      </c>
      <c r="O3" s="3">
        <f t="shared" si="5"/>
        <v>46.999563556034012</v>
      </c>
      <c r="P3" s="2">
        <f>AVERAGE('Oven Drying &amp; Combustion'!I5:I7)</f>
        <v>2.1286444450847018E-2</v>
      </c>
      <c r="Q3" s="7">
        <f t="shared" ref="Q3:Q5" si="6">P3*M3/(0.01*O3)</f>
        <v>4.9978797700217868E-2</v>
      </c>
      <c r="R3" s="7">
        <f>AVERAGE('Oven Drying &amp; Combustion'!L5:L7)</f>
        <v>5.8943500371858783E-2</v>
      </c>
      <c r="S3" s="7">
        <f t="shared" ref="S3:S5" si="7">R3*0.58</f>
        <v>3.4187230215678092E-2</v>
      </c>
      <c r="T3" s="6">
        <f t="shared" ref="T3:T5" si="8">15*$O3*(2*(1-$L3))*(10^-4)/$M3-(2*$L3)</f>
        <v>8.3424900313693151E-2</v>
      </c>
      <c r="U3" s="6">
        <f>25*$O3*(2*(1-$L3))*(10^-4)/$M3-(2*$L3)</f>
        <v>0.16683140174409958</v>
      </c>
      <c r="V3" s="6">
        <f>Q3/P3</f>
        <v>2.3479166666666655</v>
      </c>
    </row>
    <row r="4" spans="1:22" x14ac:dyDescent="0.35">
      <c r="A4" t="s">
        <v>2</v>
      </c>
      <c r="B4">
        <v>120.41</v>
      </c>
      <c r="C4">
        <v>50</v>
      </c>
      <c r="D4">
        <v>180.68</v>
      </c>
      <c r="E4">
        <f t="shared" si="0"/>
        <v>60.27000000000001</v>
      </c>
      <c r="F4">
        <v>50</v>
      </c>
      <c r="G4">
        <v>79</v>
      </c>
      <c r="H4">
        <f t="shared" si="1"/>
        <v>29</v>
      </c>
      <c r="I4">
        <f t="shared" si="2"/>
        <v>1.2054000000000002</v>
      </c>
      <c r="J4" s="3">
        <f t="shared" si="3"/>
        <v>2.0782758620689661</v>
      </c>
      <c r="K4">
        <f t="shared" si="4"/>
        <v>42.000000000000007</v>
      </c>
      <c r="L4" s="2">
        <f>AVERAGE('Oven Drying &amp; Combustion'!H8:H10)</f>
        <v>2.6174236802495324E-2</v>
      </c>
      <c r="M4" s="2">
        <f t="shared" si="5"/>
        <v>1.1738495749582725</v>
      </c>
      <c r="N4" s="2">
        <f t="shared" si="5"/>
        <v>2.0238785775142629</v>
      </c>
      <c r="O4" s="3">
        <f t="shared" si="5"/>
        <v>40.900682054295203</v>
      </c>
      <c r="P4" s="2">
        <f>AVERAGE('Oven Drying &amp; Combustion'!I8:I10)</f>
        <v>2.6877913815344396E-2</v>
      </c>
      <c r="Q4" s="7">
        <f t="shared" si="6"/>
        <v>7.7139612650038436E-2</v>
      </c>
      <c r="R4" s="7">
        <f>AVERAGE('Oven Drying &amp; Combustion'!L8:L10)</f>
        <v>7.7033603747011861E-2</v>
      </c>
      <c r="S4" s="7">
        <f t="shared" si="7"/>
        <v>4.4679490173266875E-2</v>
      </c>
      <c r="T4" s="6">
        <f t="shared" si="8"/>
        <v>4.9445160178720624E-2</v>
      </c>
      <c r="U4" s="6">
        <f t="shared" ref="U4:U5" si="9">25*$O4*(2*(1-$L4))*(10^-4)/$M4-(2*$L4)</f>
        <v>0.11730758270119482</v>
      </c>
      <c r="V4" s="6">
        <f t="shared" ref="V4:V5" si="10">Q4/P4</f>
        <v>2.8700000000000006</v>
      </c>
    </row>
    <row r="5" spans="1:22" x14ac:dyDescent="0.35">
      <c r="A5" t="s">
        <v>3</v>
      </c>
      <c r="B5">
        <v>121.46</v>
      </c>
      <c r="C5">
        <v>50</v>
      </c>
      <c r="D5">
        <v>184.44</v>
      </c>
      <c r="E5">
        <f t="shared" si="0"/>
        <v>62.980000000000004</v>
      </c>
      <c r="F5">
        <v>50</v>
      </c>
      <c r="G5">
        <v>79</v>
      </c>
      <c r="H5">
        <f t="shared" si="1"/>
        <v>29</v>
      </c>
      <c r="I5">
        <f t="shared" si="2"/>
        <v>1.2596000000000001</v>
      </c>
      <c r="J5" s="3">
        <f t="shared" si="3"/>
        <v>2.1717241379310348</v>
      </c>
      <c r="K5">
        <f t="shared" si="4"/>
        <v>42.000000000000007</v>
      </c>
      <c r="L5" s="2">
        <f>AVERAGE('Oven Drying &amp; Combustion'!H11:H13)</f>
        <v>2.1226709688612583E-2</v>
      </c>
      <c r="M5" s="2">
        <f t="shared" si="5"/>
        <v>1.2328628364762235</v>
      </c>
      <c r="N5" s="2">
        <f t="shared" si="5"/>
        <v>2.1256255801314201</v>
      </c>
      <c r="O5" s="3">
        <f t="shared" si="5"/>
        <v>41.108478193078277</v>
      </c>
      <c r="P5" s="2">
        <f>AVERAGE('Oven Drying &amp; Combustion'!I11:I13)</f>
        <v>2.1687842348556283E-2</v>
      </c>
      <c r="Q5" s="7">
        <f t="shared" si="6"/>
        <v>6.5042871957717824E-2</v>
      </c>
      <c r="R5" s="7">
        <f>AVERAGE('Oven Drying &amp; Combustion'!L11:L13)</f>
        <v>6.8702090373020733E-2</v>
      </c>
      <c r="S5" s="7">
        <f t="shared" si="7"/>
        <v>3.9847212416352022E-2</v>
      </c>
      <c r="T5" s="6">
        <f t="shared" si="8"/>
        <v>5.5454991689172749E-2</v>
      </c>
      <c r="U5" s="6">
        <f t="shared" si="9"/>
        <v>0.12072726573343809</v>
      </c>
      <c r="V5" s="6">
        <f t="shared" si="10"/>
        <v>2.9990476190476181</v>
      </c>
    </row>
    <row r="6" spans="1:22" x14ac:dyDescent="0.35">
      <c r="C6">
        <v>50</v>
      </c>
      <c r="E6">
        <f t="shared" si="0"/>
        <v>0</v>
      </c>
      <c r="F6">
        <v>50</v>
      </c>
      <c r="H6">
        <f t="shared" si="1"/>
        <v>-50</v>
      </c>
      <c r="I6">
        <f t="shared" si="2"/>
        <v>0</v>
      </c>
      <c r="J6" s="3">
        <f t="shared" si="3"/>
        <v>0</v>
      </c>
      <c r="K6" t="e">
        <f t="shared" si="4"/>
        <v>#DIV/0!</v>
      </c>
    </row>
    <row r="7" spans="1:22" x14ac:dyDescent="0.35">
      <c r="C7">
        <v>50</v>
      </c>
      <c r="E7">
        <f t="shared" si="0"/>
        <v>0</v>
      </c>
      <c r="F7">
        <v>50</v>
      </c>
      <c r="H7">
        <f t="shared" si="1"/>
        <v>-50</v>
      </c>
      <c r="I7">
        <f t="shared" si="2"/>
        <v>0</v>
      </c>
      <c r="J7" s="3">
        <f t="shared" si="3"/>
        <v>0</v>
      </c>
      <c r="K7" t="e">
        <f t="shared" si="4"/>
        <v>#DIV/0!</v>
      </c>
    </row>
    <row r="8" spans="1:22" x14ac:dyDescent="0.35">
      <c r="C8">
        <v>50</v>
      </c>
      <c r="E8">
        <f t="shared" si="0"/>
        <v>0</v>
      </c>
      <c r="F8">
        <v>50</v>
      </c>
      <c r="H8">
        <f t="shared" si="1"/>
        <v>-50</v>
      </c>
      <c r="I8">
        <f t="shared" si="2"/>
        <v>0</v>
      </c>
      <c r="J8" s="3">
        <f t="shared" si="3"/>
        <v>0</v>
      </c>
      <c r="K8" t="e">
        <f t="shared" si="4"/>
        <v>#DIV/0!</v>
      </c>
    </row>
    <row r="9" spans="1:22" x14ac:dyDescent="0.35">
      <c r="C9">
        <v>50</v>
      </c>
      <c r="E9">
        <f t="shared" si="0"/>
        <v>0</v>
      </c>
      <c r="F9">
        <v>50</v>
      </c>
      <c r="H9">
        <f t="shared" si="1"/>
        <v>-50</v>
      </c>
      <c r="I9">
        <f t="shared" si="2"/>
        <v>0</v>
      </c>
      <c r="J9" s="3">
        <f t="shared" si="3"/>
        <v>0</v>
      </c>
      <c r="K9" t="e">
        <f t="shared" si="4"/>
        <v>#DIV/0!</v>
      </c>
    </row>
    <row r="10" spans="1:22" x14ac:dyDescent="0.35">
      <c r="C10">
        <v>50</v>
      </c>
      <c r="E10">
        <f t="shared" si="0"/>
        <v>0</v>
      </c>
      <c r="F10">
        <v>50</v>
      </c>
      <c r="H10">
        <f t="shared" si="1"/>
        <v>-50</v>
      </c>
      <c r="I10">
        <f t="shared" si="2"/>
        <v>0</v>
      </c>
      <c r="J10" s="3">
        <f t="shared" si="3"/>
        <v>0</v>
      </c>
      <c r="K10" t="e">
        <f t="shared" si="4"/>
        <v>#DIV/0!</v>
      </c>
    </row>
    <row r="11" spans="1:22" x14ac:dyDescent="0.35">
      <c r="C11">
        <v>50</v>
      </c>
      <c r="E11">
        <f t="shared" si="0"/>
        <v>0</v>
      </c>
      <c r="F11">
        <v>50</v>
      </c>
      <c r="H11">
        <f t="shared" si="1"/>
        <v>-50</v>
      </c>
      <c r="I11">
        <f t="shared" si="2"/>
        <v>0</v>
      </c>
      <c r="J11" s="3">
        <f t="shared" si="3"/>
        <v>0</v>
      </c>
      <c r="K11" t="e">
        <f t="shared" si="4"/>
        <v>#DIV/0!</v>
      </c>
    </row>
    <row r="12" spans="1:22" x14ac:dyDescent="0.35">
      <c r="C12">
        <v>50</v>
      </c>
      <c r="E12">
        <f t="shared" si="0"/>
        <v>0</v>
      </c>
      <c r="F12">
        <v>50</v>
      </c>
      <c r="H12">
        <f t="shared" si="1"/>
        <v>-50</v>
      </c>
      <c r="I12">
        <f t="shared" si="2"/>
        <v>0</v>
      </c>
      <c r="J12" s="3">
        <f t="shared" si="3"/>
        <v>0</v>
      </c>
      <c r="K12" t="e">
        <f t="shared" si="4"/>
        <v>#DIV/0!</v>
      </c>
    </row>
    <row r="13" spans="1:22" x14ac:dyDescent="0.35">
      <c r="C13">
        <v>50</v>
      </c>
      <c r="E13">
        <f t="shared" si="0"/>
        <v>0</v>
      </c>
      <c r="F13">
        <v>50</v>
      </c>
      <c r="H13">
        <f t="shared" si="1"/>
        <v>-50</v>
      </c>
      <c r="I13">
        <f t="shared" si="2"/>
        <v>0</v>
      </c>
      <c r="J13" s="3">
        <f t="shared" si="3"/>
        <v>0</v>
      </c>
      <c r="K13" t="e">
        <f t="shared" si="4"/>
        <v>#DIV/0!</v>
      </c>
    </row>
    <row r="14" spans="1:22" x14ac:dyDescent="0.35">
      <c r="C14">
        <v>50</v>
      </c>
      <c r="E14">
        <f t="shared" si="0"/>
        <v>0</v>
      </c>
      <c r="F14">
        <v>50</v>
      </c>
      <c r="H14">
        <f t="shared" si="1"/>
        <v>-50</v>
      </c>
      <c r="I14">
        <f t="shared" si="2"/>
        <v>0</v>
      </c>
      <c r="J14" s="3">
        <f t="shared" si="3"/>
        <v>0</v>
      </c>
      <c r="K14" t="e">
        <f t="shared" si="4"/>
        <v>#DIV/0!</v>
      </c>
    </row>
    <row r="15" spans="1:22" x14ac:dyDescent="0.35">
      <c r="C15">
        <v>50</v>
      </c>
      <c r="E15">
        <f t="shared" si="0"/>
        <v>0</v>
      </c>
      <c r="F15">
        <v>50</v>
      </c>
      <c r="H15">
        <f t="shared" si="1"/>
        <v>-50</v>
      </c>
      <c r="I15">
        <f t="shared" si="2"/>
        <v>0</v>
      </c>
      <c r="J15" s="3">
        <f t="shared" si="3"/>
        <v>0</v>
      </c>
      <c r="K15" t="e">
        <f t="shared" si="4"/>
        <v>#DIV/0!</v>
      </c>
    </row>
    <row r="16" spans="1:22" x14ac:dyDescent="0.35">
      <c r="C16">
        <v>50</v>
      </c>
      <c r="E16">
        <f t="shared" si="0"/>
        <v>0</v>
      </c>
      <c r="F16">
        <v>50</v>
      </c>
      <c r="H16">
        <f t="shared" si="1"/>
        <v>-50</v>
      </c>
      <c r="I16">
        <f t="shared" si="2"/>
        <v>0</v>
      </c>
      <c r="J16" s="3">
        <f t="shared" si="3"/>
        <v>0</v>
      </c>
      <c r="K16" t="e">
        <f t="shared" si="4"/>
        <v>#DIV/0!</v>
      </c>
    </row>
    <row r="17" spans="3:11" x14ac:dyDescent="0.35">
      <c r="C17">
        <v>50</v>
      </c>
      <c r="E17">
        <f t="shared" si="0"/>
        <v>0</v>
      </c>
      <c r="F17">
        <v>50</v>
      </c>
      <c r="H17">
        <f t="shared" si="1"/>
        <v>-50</v>
      </c>
      <c r="I17">
        <f t="shared" si="2"/>
        <v>0</v>
      </c>
      <c r="J17" s="3">
        <f t="shared" si="3"/>
        <v>0</v>
      </c>
      <c r="K17" t="e">
        <f t="shared" si="4"/>
        <v>#DIV/0!</v>
      </c>
    </row>
    <row r="18" spans="3:11" x14ac:dyDescent="0.35">
      <c r="C18">
        <v>50</v>
      </c>
      <c r="E18">
        <f t="shared" si="0"/>
        <v>0</v>
      </c>
      <c r="F18">
        <v>50</v>
      </c>
      <c r="H18">
        <f t="shared" si="1"/>
        <v>-50</v>
      </c>
      <c r="I18">
        <f t="shared" si="2"/>
        <v>0</v>
      </c>
      <c r="J18" s="3">
        <f t="shared" si="3"/>
        <v>0</v>
      </c>
      <c r="K18" t="e">
        <f t="shared" si="4"/>
        <v>#DIV/0!</v>
      </c>
    </row>
    <row r="19" spans="3:11" x14ac:dyDescent="0.35">
      <c r="C19">
        <v>50</v>
      </c>
      <c r="E19">
        <f t="shared" si="0"/>
        <v>0</v>
      </c>
      <c r="F19">
        <v>50</v>
      </c>
      <c r="H19">
        <f t="shared" si="1"/>
        <v>-50</v>
      </c>
      <c r="I19">
        <f t="shared" si="2"/>
        <v>0</v>
      </c>
      <c r="J19" s="3">
        <f t="shared" si="3"/>
        <v>0</v>
      </c>
      <c r="K19" t="e">
        <f t="shared" si="4"/>
        <v>#DIV/0!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16932-AFD2-4F88-9876-424E09304D7D}">
  <dimension ref="A1:L13"/>
  <sheetViews>
    <sheetView workbookViewId="0">
      <selection activeCell="L1" sqref="L1"/>
    </sheetView>
  </sheetViews>
  <sheetFormatPr defaultColWidth="12.90625" defaultRowHeight="14.5" x14ac:dyDescent="0.35"/>
  <cols>
    <col min="1" max="1" width="18.90625" bestFit="1" customWidth="1"/>
    <col min="2" max="2" width="8.36328125" bestFit="1" customWidth="1"/>
    <col min="3" max="3" width="7.36328125" bestFit="1" customWidth="1"/>
    <col min="4" max="4" width="11.26953125" bestFit="1" customWidth="1"/>
    <col min="5" max="5" width="8.54296875" bestFit="1" customWidth="1"/>
    <col min="6" max="6" width="11.08984375" style="2" customWidth="1"/>
    <col min="7" max="7" width="11.26953125" style="2" customWidth="1"/>
    <col min="8" max="9" width="9.54296875" style="2" customWidth="1"/>
    <col min="10" max="10" width="12" style="2" customWidth="1"/>
    <col min="11" max="11" width="10" style="2" bestFit="1" customWidth="1"/>
    <col min="12" max="12" width="12.7265625" style="2" customWidth="1"/>
  </cols>
  <sheetData>
    <row r="1" spans="1:12" s="1" customFormat="1" ht="58" x14ac:dyDescent="0.35">
      <c r="A1" s="1" t="s">
        <v>9</v>
      </c>
      <c r="B1" s="1" t="s">
        <v>10</v>
      </c>
      <c r="C1" s="1" t="s">
        <v>11</v>
      </c>
      <c r="D1" s="1" t="s">
        <v>12</v>
      </c>
      <c r="E1" s="1" t="s">
        <v>5</v>
      </c>
      <c r="F1" s="1" t="s">
        <v>13</v>
      </c>
      <c r="G1" s="1" t="s">
        <v>15</v>
      </c>
      <c r="H1" s="1" t="s">
        <v>27</v>
      </c>
      <c r="I1" s="1" t="s">
        <v>28</v>
      </c>
      <c r="J1" s="1" t="s">
        <v>14</v>
      </c>
      <c r="K1" s="1" t="s">
        <v>16</v>
      </c>
      <c r="L1" s="1" t="s">
        <v>34</v>
      </c>
    </row>
    <row r="2" spans="1:12" x14ac:dyDescent="0.35">
      <c r="A2" t="str">
        <f>Characterization!A2</f>
        <v>Soybean Undisturbed</v>
      </c>
      <c r="B2">
        <v>1</v>
      </c>
      <c r="C2">
        <v>10.3116</v>
      </c>
      <c r="D2">
        <v>11.3148</v>
      </c>
      <c r="E2">
        <f>D2-C2</f>
        <v>1.0031999999999996</v>
      </c>
      <c r="F2" s="2">
        <v>11.293799999999999</v>
      </c>
      <c r="G2" s="2">
        <f>F2-C2</f>
        <v>0.98219999999999885</v>
      </c>
      <c r="H2" s="2">
        <f>(E2-G2)/E2</f>
        <v>2.0933014354067785E-2</v>
      </c>
      <c r="I2" s="2">
        <f>(E2-G2)/G2</f>
        <v>2.1380574221137059E-2</v>
      </c>
      <c r="J2" s="2">
        <v>11.214700000000001</v>
      </c>
      <c r="K2" s="2">
        <f>J2-C2</f>
        <v>0.90310000000000024</v>
      </c>
      <c r="L2" s="2">
        <f>(G2-K2)/G2</f>
        <v>8.0533496232945131E-2</v>
      </c>
    </row>
    <row r="3" spans="1:12" x14ac:dyDescent="0.35">
      <c r="A3" t="str">
        <f>Characterization!A2</f>
        <v>Soybean Undisturbed</v>
      </c>
      <c r="B3">
        <v>2</v>
      </c>
      <c r="C3">
        <v>9.8409999999999993</v>
      </c>
      <c r="D3">
        <v>10.911199999999999</v>
      </c>
      <c r="E3">
        <f t="shared" ref="E3:E13" si="0">D3-C3</f>
        <v>1.0701999999999998</v>
      </c>
      <c r="F3" s="2">
        <v>10.889099999999999</v>
      </c>
      <c r="G3" s="2">
        <f t="shared" ref="G3:G13" si="1">F3-C3</f>
        <v>1.0480999999999998</v>
      </c>
      <c r="H3" s="2">
        <f t="shared" ref="H3:H13" si="2">(E3-G3)/E3</f>
        <v>2.0650345729770148E-2</v>
      </c>
      <c r="I3" s="2">
        <f t="shared" ref="I3:I13" si="3">(E3-G3)/G3</f>
        <v>2.1085774258181485E-2</v>
      </c>
      <c r="J3" s="2">
        <v>10.8</v>
      </c>
      <c r="K3" s="2">
        <f t="shared" ref="K3:K13" si="4">J3-C3</f>
        <v>0.95900000000000141</v>
      </c>
      <c r="L3" s="2">
        <f t="shared" ref="L3:L13" si="5">(G3-K3)/G3</f>
        <v>8.5010972235472201E-2</v>
      </c>
    </row>
    <row r="4" spans="1:12" x14ac:dyDescent="0.35">
      <c r="A4" t="str">
        <f>Characterization!A2</f>
        <v>Soybean Undisturbed</v>
      </c>
      <c r="B4">
        <v>3</v>
      </c>
      <c r="C4">
        <v>10.1114</v>
      </c>
      <c r="D4">
        <v>11.1427</v>
      </c>
      <c r="E4">
        <f t="shared" si="0"/>
        <v>1.0312999999999999</v>
      </c>
      <c r="F4" s="2">
        <v>11.122299999999999</v>
      </c>
      <c r="G4" s="2">
        <f t="shared" si="1"/>
        <v>1.0108999999999995</v>
      </c>
      <c r="H4" s="2">
        <f t="shared" si="2"/>
        <v>1.9780859109861746E-2</v>
      </c>
      <c r="I4" s="2">
        <f t="shared" si="3"/>
        <v>2.0180037590266525E-2</v>
      </c>
      <c r="J4" s="2">
        <v>11.0383</v>
      </c>
      <c r="K4" s="2">
        <f t="shared" si="4"/>
        <v>0.92689999999999984</v>
      </c>
      <c r="L4" s="2">
        <f t="shared" si="5"/>
        <v>8.3094272430507141E-2</v>
      </c>
    </row>
    <row r="5" spans="1:12" x14ac:dyDescent="0.35">
      <c r="A5" t="str">
        <f>Characterization!A3</f>
        <v>Soybean Center</v>
      </c>
      <c r="B5">
        <v>1</v>
      </c>
      <c r="C5">
        <v>10.9634</v>
      </c>
      <c r="D5">
        <v>11.9625</v>
      </c>
      <c r="E5">
        <f t="shared" si="0"/>
        <v>0.99910000000000032</v>
      </c>
      <c r="F5" s="2">
        <v>11.940899999999999</v>
      </c>
      <c r="G5" s="2">
        <f t="shared" si="1"/>
        <v>0.97749999999999915</v>
      </c>
      <c r="H5" s="2">
        <f t="shared" si="2"/>
        <v>2.1619457511761753E-2</v>
      </c>
      <c r="I5" s="2">
        <f t="shared" si="3"/>
        <v>2.2097186700768483E-2</v>
      </c>
      <c r="J5" s="2">
        <v>11.8825</v>
      </c>
      <c r="K5" s="2">
        <f t="shared" si="4"/>
        <v>0.91910000000000025</v>
      </c>
      <c r="L5" s="2">
        <f t="shared" si="5"/>
        <v>5.9744245524295601E-2</v>
      </c>
    </row>
    <row r="6" spans="1:12" x14ac:dyDescent="0.35">
      <c r="A6" t="str">
        <f>Characterization!A3</f>
        <v>Soybean Center</v>
      </c>
      <c r="B6">
        <v>2</v>
      </c>
      <c r="C6">
        <v>10.7354</v>
      </c>
      <c r="D6">
        <v>11.7112</v>
      </c>
      <c r="E6">
        <f t="shared" si="0"/>
        <v>0.97579999999999956</v>
      </c>
      <c r="F6" s="2">
        <v>11.691000000000001</v>
      </c>
      <c r="G6" s="2">
        <f t="shared" si="1"/>
        <v>0.95560000000000045</v>
      </c>
      <c r="H6" s="2">
        <f t="shared" si="2"/>
        <v>2.0700963312153226E-2</v>
      </c>
      <c r="I6" s="2">
        <f t="shared" si="3"/>
        <v>2.1138551695269042E-2</v>
      </c>
      <c r="J6" s="2">
        <v>11.634499999999999</v>
      </c>
      <c r="K6" s="2">
        <f t="shared" si="4"/>
        <v>0.8990999999999989</v>
      </c>
      <c r="L6" s="2">
        <f t="shared" si="5"/>
        <v>5.9125156969444877E-2</v>
      </c>
    </row>
    <row r="7" spans="1:12" x14ac:dyDescent="0.35">
      <c r="A7" t="str">
        <f>Characterization!A3</f>
        <v>Soybean Center</v>
      </c>
      <c r="B7">
        <v>3</v>
      </c>
      <c r="C7">
        <v>10.039199999999999</v>
      </c>
      <c r="D7">
        <v>11.083399999999999</v>
      </c>
      <c r="E7">
        <f t="shared" si="0"/>
        <v>1.0442</v>
      </c>
      <c r="F7" s="2">
        <v>11.0623</v>
      </c>
      <c r="G7" s="2">
        <f t="shared" si="1"/>
        <v>1.0231000000000012</v>
      </c>
      <c r="H7" s="2">
        <f t="shared" si="2"/>
        <v>2.0206856923959765E-2</v>
      </c>
      <c r="I7" s="2">
        <f t="shared" si="3"/>
        <v>2.0623594956503531E-2</v>
      </c>
      <c r="J7" s="2">
        <v>11.003</v>
      </c>
      <c r="K7" s="2">
        <f t="shared" si="4"/>
        <v>0.96380000000000088</v>
      </c>
      <c r="L7" s="2">
        <f t="shared" si="5"/>
        <v>5.796109862183587E-2</v>
      </c>
    </row>
    <row r="8" spans="1:12" x14ac:dyDescent="0.35">
      <c r="A8" t="str">
        <f>Characterization!A4</f>
        <v>Rosemary</v>
      </c>
      <c r="B8">
        <v>1</v>
      </c>
      <c r="C8">
        <v>10.7117</v>
      </c>
      <c r="D8">
        <v>11.7026</v>
      </c>
      <c r="E8">
        <f t="shared" si="0"/>
        <v>0.99089999999999989</v>
      </c>
      <c r="F8" s="2">
        <v>11.677099999999999</v>
      </c>
      <c r="G8" s="2">
        <f t="shared" si="1"/>
        <v>0.96539999999999893</v>
      </c>
      <c r="H8" s="2">
        <f t="shared" si="2"/>
        <v>2.5734181047533524E-2</v>
      </c>
      <c r="I8" s="2">
        <f t="shared" si="3"/>
        <v>2.6413921690492018E-2</v>
      </c>
      <c r="J8" s="2">
        <v>11.601699999999999</v>
      </c>
      <c r="K8" s="2">
        <f t="shared" si="4"/>
        <v>0.88999999999999879</v>
      </c>
      <c r="L8" s="2">
        <f t="shared" si="5"/>
        <v>7.8102340998550054E-2</v>
      </c>
    </row>
    <row r="9" spans="1:12" x14ac:dyDescent="0.35">
      <c r="A9" t="str">
        <f>Characterization!A4</f>
        <v>Rosemary</v>
      </c>
      <c r="B9">
        <v>2</v>
      </c>
      <c r="C9">
        <v>10.1225</v>
      </c>
      <c r="D9">
        <v>11.1153</v>
      </c>
      <c r="E9">
        <f t="shared" si="0"/>
        <v>0.99279999999999902</v>
      </c>
      <c r="F9" s="2">
        <v>11.089399999999999</v>
      </c>
      <c r="G9" s="2">
        <f t="shared" si="1"/>
        <v>0.96689999999999898</v>
      </c>
      <c r="H9" s="2">
        <f t="shared" si="2"/>
        <v>2.6087832393231324E-2</v>
      </c>
      <c r="I9" s="2">
        <f t="shared" si="3"/>
        <v>2.678663770813948E-2</v>
      </c>
      <c r="J9" s="2">
        <v>11.014799999999999</v>
      </c>
      <c r="K9" s="2">
        <f t="shared" si="4"/>
        <v>0.89229999999999876</v>
      </c>
      <c r="L9" s="2">
        <f t="shared" si="5"/>
        <v>7.7153790464370986E-2</v>
      </c>
    </row>
    <row r="10" spans="1:12" x14ac:dyDescent="0.35">
      <c r="A10" t="str">
        <f>Characterization!A4</f>
        <v>Rosemary</v>
      </c>
      <c r="B10">
        <v>3</v>
      </c>
      <c r="C10">
        <v>9.7612000000000005</v>
      </c>
      <c r="D10">
        <v>10.7799</v>
      </c>
      <c r="E10">
        <f t="shared" si="0"/>
        <v>1.0186999999999991</v>
      </c>
      <c r="F10" s="2">
        <v>10.752700000000001</v>
      </c>
      <c r="G10" s="2">
        <f t="shared" si="1"/>
        <v>0.99150000000000027</v>
      </c>
      <c r="H10" s="2">
        <f t="shared" si="2"/>
        <v>2.6700696966721123E-2</v>
      </c>
      <c r="I10" s="2">
        <f t="shared" si="3"/>
        <v>2.7433182047401687E-2</v>
      </c>
      <c r="J10" s="2">
        <v>10.6775</v>
      </c>
      <c r="K10" s="2">
        <f t="shared" si="4"/>
        <v>0.91629999999999967</v>
      </c>
      <c r="L10" s="2">
        <f t="shared" si="5"/>
        <v>7.5844679778114557E-2</v>
      </c>
    </row>
    <row r="11" spans="1:12" x14ac:dyDescent="0.35">
      <c r="A11" t="str">
        <f>Characterization!A5</f>
        <v>Oregano</v>
      </c>
      <c r="B11">
        <v>1</v>
      </c>
      <c r="C11">
        <v>10.515499999999999</v>
      </c>
      <c r="D11">
        <v>11.541700000000001</v>
      </c>
      <c r="E11">
        <f t="shared" si="0"/>
        <v>1.0262000000000011</v>
      </c>
      <c r="F11" s="2">
        <v>11.5198</v>
      </c>
      <c r="G11" s="2">
        <f t="shared" si="1"/>
        <v>1.0043000000000006</v>
      </c>
      <c r="H11" s="2">
        <f t="shared" si="2"/>
        <v>2.1340869226272121E-2</v>
      </c>
      <c r="I11" s="2">
        <f t="shared" si="3"/>
        <v>2.1806233197252275E-2</v>
      </c>
      <c r="J11" s="2">
        <v>11.4513</v>
      </c>
      <c r="K11" s="2">
        <f t="shared" si="4"/>
        <v>0.93580000000000041</v>
      </c>
      <c r="L11" s="2">
        <f t="shared" si="5"/>
        <v>6.8206711142089205E-2</v>
      </c>
    </row>
    <row r="12" spans="1:12" x14ac:dyDescent="0.35">
      <c r="A12" t="str">
        <f>Characterization!A5</f>
        <v>Oregano</v>
      </c>
      <c r="B12">
        <v>2</v>
      </c>
      <c r="C12">
        <v>10.589</v>
      </c>
      <c r="D12">
        <v>11.5929</v>
      </c>
      <c r="E12">
        <f t="shared" si="0"/>
        <v>1.0038999999999998</v>
      </c>
      <c r="F12" s="2">
        <v>11.572699999999999</v>
      </c>
      <c r="G12" s="2">
        <f t="shared" si="1"/>
        <v>0.98369999999999891</v>
      </c>
      <c r="H12" s="2">
        <f t="shared" si="2"/>
        <v>2.0121526048412081E-2</v>
      </c>
      <c r="I12" s="2">
        <f t="shared" si="3"/>
        <v>2.0534715868660066E-2</v>
      </c>
      <c r="J12" s="2">
        <v>11.5038</v>
      </c>
      <c r="K12" s="2">
        <f t="shared" si="4"/>
        <v>0.91479999999999961</v>
      </c>
      <c r="L12" s="2">
        <f t="shared" si="5"/>
        <v>7.0041679373792187E-2</v>
      </c>
    </row>
    <row r="13" spans="1:12" x14ac:dyDescent="0.35">
      <c r="A13" t="str">
        <f>Characterization!A5</f>
        <v>Oregano</v>
      </c>
      <c r="B13">
        <v>3</v>
      </c>
      <c r="C13">
        <v>10.3164</v>
      </c>
      <c r="D13">
        <v>11.3066</v>
      </c>
      <c r="E13">
        <f t="shared" si="0"/>
        <v>0.99019999999999975</v>
      </c>
      <c r="F13" s="2">
        <v>11.284599999999999</v>
      </c>
      <c r="G13" s="2">
        <f t="shared" si="1"/>
        <v>0.96819999999999951</v>
      </c>
      <c r="H13" s="2">
        <f t="shared" si="2"/>
        <v>2.2217733791153552E-2</v>
      </c>
      <c r="I13" s="2">
        <f t="shared" si="3"/>
        <v>2.2722577979756509E-2</v>
      </c>
      <c r="J13" s="2">
        <v>11.2189</v>
      </c>
      <c r="K13" s="2">
        <f t="shared" si="4"/>
        <v>0.90249999999999986</v>
      </c>
      <c r="L13" s="2">
        <f t="shared" si="5"/>
        <v>6.7857880603180834E-2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83686-5918-4241-A3F2-49C4CE6E45BD}">
  <dimension ref="A1:N19"/>
  <sheetViews>
    <sheetView tabSelected="1" workbookViewId="0">
      <selection activeCell="B2" sqref="B2"/>
    </sheetView>
  </sheetViews>
  <sheetFormatPr defaultColWidth="6" defaultRowHeight="14.5" x14ac:dyDescent="0.35"/>
  <cols>
    <col min="1" max="1" width="14.6328125" bestFit="1" customWidth="1"/>
    <col min="2" max="2" width="18.90625" bestFit="1" customWidth="1"/>
    <col min="3" max="3" width="9.453125" bestFit="1" customWidth="1"/>
    <col min="4" max="4" width="10.08984375" customWidth="1"/>
    <col min="5" max="5" width="11.1796875" customWidth="1"/>
    <col min="6" max="7" width="6.36328125" style="2" bestFit="1" customWidth="1"/>
    <col min="8" max="8" width="7" style="3" bestFit="1" customWidth="1"/>
    <col min="9" max="11" width="7.36328125" style="2" bestFit="1" customWidth="1"/>
    <col min="12" max="12" width="9.36328125" style="2" customWidth="1"/>
    <col min="13" max="13" width="6.36328125" style="7" customWidth="1"/>
    <col min="14" max="14" width="8" customWidth="1"/>
  </cols>
  <sheetData>
    <row r="1" spans="1:14" s="1" customFormat="1" ht="43.5" x14ac:dyDescent="0.35">
      <c r="A1" s="1" t="s">
        <v>115</v>
      </c>
      <c r="B1" s="1" t="s">
        <v>117</v>
      </c>
      <c r="C1" s="1" t="s">
        <v>52</v>
      </c>
      <c r="D1" s="1" t="s">
        <v>53</v>
      </c>
      <c r="E1" s="1" t="s">
        <v>102</v>
      </c>
      <c r="F1" s="1" t="s">
        <v>54</v>
      </c>
      <c r="G1" s="1" t="s">
        <v>64</v>
      </c>
      <c r="H1" s="1" t="s">
        <v>116</v>
      </c>
      <c r="I1" s="1" t="s">
        <v>55</v>
      </c>
      <c r="J1" s="1" t="s">
        <v>56</v>
      </c>
      <c r="K1" s="1" t="s">
        <v>57</v>
      </c>
      <c r="L1" s="1" t="s">
        <v>65</v>
      </c>
      <c r="M1" s="1" t="s">
        <v>66</v>
      </c>
      <c r="N1" s="1" t="s">
        <v>101</v>
      </c>
    </row>
    <row r="2" spans="1:14" x14ac:dyDescent="0.35">
      <c r="A2" t="s">
        <v>103</v>
      </c>
      <c r="B2" t="str">
        <f>Characterization!$A$2</f>
        <v>Soybean Undisturbed</v>
      </c>
      <c r="C2" s="4">
        <v>46036</v>
      </c>
      <c r="D2" s="4">
        <v>46050</v>
      </c>
      <c r="E2">
        <f>_xlfn.DAYS(D2,C2)</f>
        <v>14</v>
      </c>
      <c r="F2" s="2">
        <f>2.0077-0.0032</f>
        <v>2.0044999999999997</v>
      </c>
      <c r="G2" s="2">
        <v>0.50419999999999998</v>
      </c>
      <c r="H2" s="3">
        <v>-9.85</v>
      </c>
      <c r="I2" s="2">
        <v>10.4305</v>
      </c>
      <c r="J2" s="2">
        <v>10.9299</v>
      </c>
      <c r="K2" s="2">
        <v>10.900499999999999</v>
      </c>
      <c r="L2" s="2">
        <f>(J2-K2)/(K2-I2)</f>
        <v>6.2553191489363474E-2</v>
      </c>
      <c r="M2" s="9">
        <f>INDEX(Characterization!M:M, MATCH('Trial Metadata'!B2, Characterization!A:A, 0))*L2/(INDEX(Characterization!O:O, MATCH('Trial Metadata'!B2, Characterization!A:A, 0))*0.01)</f>
        <v>0.12096824877250754</v>
      </c>
      <c r="N2" s="8">
        <f>INDEX(Characterization!S:S, MATCH('Trial Metadata'!B2, Characterization!A:A, 0))*F2</f>
        <v>9.6356628852166171E-2</v>
      </c>
    </row>
    <row r="3" spans="1:14" x14ac:dyDescent="0.35">
      <c r="A3" t="s">
        <v>104</v>
      </c>
      <c r="B3" t="str">
        <f>Characterization!$A$2</f>
        <v>Soybean Undisturbed</v>
      </c>
      <c r="C3" s="4">
        <v>46036</v>
      </c>
      <c r="D3" s="4">
        <v>46050</v>
      </c>
      <c r="E3">
        <f>_xlfn.DAYS(D3,C3)</f>
        <v>14</v>
      </c>
      <c r="F3" s="2">
        <f>2.0072-0.0041</f>
        <v>2.0030999999999999</v>
      </c>
      <c r="G3" s="2">
        <v>0.51600000000000001</v>
      </c>
      <c r="H3" s="3">
        <v>-5.27</v>
      </c>
      <c r="I3" s="2">
        <v>9.5457999999999998</v>
      </c>
      <c r="J3" s="2">
        <v>10.0479</v>
      </c>
      <c r="K3" s="2">
        <f>I3+10.7337-10.2615</f>
        <v>10.017999999999999</v>
      </c>
      <c r="L3" s="2">
        <f>(J3-K3)/(K3-I3)</f>
        <v>6.33206268530314E-2</v>
      </c>
      <c r="M3" s="9">
        <f>INDEX(Characterization!M:M, MATCH('Trial Metadata'!B3, Characterization!A:A, 0))*L3/(INDEX(Characterization!O:O, MATCH('Trial Metadata'!B3, Characterization!A:A, 0))*0.01)</f>
        <v>0.12245235069886229</v>
      </c>
      <c r="N3" s="8">
        <f>INDEX(Characterization!S:S, MATCH('Trial Metadata'!B3, Characterization!A:A, 0))*F3</f>
        <v>9.6289330632962869E-2</v>
      </c>
    </row>
    <row r="4" spans="1:14" x14ac:dyDescent="0.35">
      <c r="A4" t="s">
        <v>105</v>
      </c>
      <c r="B4" t="str">
        <f>Characterization!$A$2</f>
        <v>Soybean Undisturbed</v>
      </c>
      <c r="C4" s="4">
        <v>46036</v>
      </c>
      <c r="D4" s="4">
        <v>46050</v>
      </c>
      <c r="E4">
        <f t="shared" ref="E4:E13" si="0">_xlfn.DAYS(D4,C4)</f>
        <v>14</v>
      </c>
      <c r="F4" s="2">
        <f>2.008-0.0047</f>
        <v>2.0032999999999999</v>
      </c>
      <c r="G4" s="2">
        <v>0.50560000000000005</v>
      </c>
      <c r="H4" s="3">
        <v>-8.1300000000000008</v>
      </c>
      <c r="I4" s="2">
        <v>10.160600000000001</v>
      </c>
      <c r="J4" s="2">
        <v>10.6753</v>
      </c>
      <c r="K4" s="2">
        <v>10.651300000000001</v>
      </c>
      <c r="L4" s="2">
        <f t="shared" ref="L4:L13" si="1">(J4-K4)/(K4-I4)</f>
        <v>4.8909720807008589E-2</v>
      </c>
      <c r="M4" s="9">
        <f>INDEX(Characterization!M:M, MATCH('Trial Metadata'!B4, Characterization!A:A, 0))*L4/(INDEX(Characterization!O:O, MATCH('Trial Metadata'!B4, Characterization!A:A, 0))*0.01)</f>
        <v>9.4583875468322781E-2</v>
      </c>
      <c r="N4" s="8">
        <f>INDEX(Characterization!S:S, MATCH('Trial Metadata'!B4, Characterization!A:A, 0))*F4</f>
        <v>9.629894466427763E-2</v>
      </c>
    </row>
    <row r="5" spans="1:14" x14ac:dyDescent="0.35">
      <c r="A5" t="s">
        <v>106</v>
      </c>
      <c r="B5" t="str">
        <f>Characterization!$A$2</f>
        <v>Soybean Undisturbed</v>
      </c>
      <c r="C5" s="4">
        <v>46036</v>
      </c>
      <c r="D5" s="4">
        <v>46050</v>
      </c>
      <c r="E5">
        <f t="shared" si="0"/>
        <v>14</v>
      </c>
      <c r="F5" s="2">
        <f>2.004-0.0038</f>
        <v>2.0002</v>
      </c>
      <c r="G5" s="2">
        <v>0.50549999999999995</v>
      </c>
      <c r="H5" s="3">
        <v>-5.27</v>
      </c>
      <c r="I5" s="2">
        <v>10.0318</v>
      </c>
      <c r="J5" s="2">
        <v>10.436999999999999</v>
      </c>
      <c r="K5" s="2">
        <v>10.4145</v>
      </c>
      <c r="L5" s="2">
        <f t="shared" si="1"/>
        <v>5.879278808465923E-2</v>
      </c>
      <c r="M5" s="9">
        <f>INDEX(Characterization!M:M, MATCH('Trial Metadata'!B5, Characterization!A:A, 0))*L5/(INDEX(Characterization!O:O, MATCH('Trial Metadata'!B5, Characterization!A:A, 0))*0.01)</f>
        <v>0.11369620711141026</v>
      </c>
      <c r="N5" s="8">
        <f>INDEX(Characterization!S:S, MATCH('Trial Metadata'!B5, Characterization!A:A, 0))*F5</f>
        <v>9.6149927178898878E-2</v>
      </c>
    </row>
    <row r="6" spans="1:14" x14ac:dyDescent="0.35">
      <c r="A6" t="s">
        <v>107</v>
      </c>
      <c r="B6" t="str">
        <f>Characterization!$A$2</f>
        <v>Soybean Undisturbed</v>
      </c>
      <c r="C6" s="4">
        <v>46036</v>
      </c>
      <c r="D6" s="4">
        <v>46050</v>
      </c>
      <c r="E6">
        <f t="shared" si="0"/>
        <v>14</v>
      </c>
      <c r="F6" s="2">
        <f>2.0073-0.005</f>
        <v>2.0023</v>
      </c>
      <c r="G6" s="2">
        <v>0.50019999999999998</v>
      </c>
      <c r="H6" s="3">
        <v>-1.19</v>
      </c>
      <c r="I6" s="2">
        <f>10.3875</f>
        <v>10.387499999999999</v>
      </c>
      <c r="J6" s="2">
        <v>10.8912</v>
      </c>
      <c r="K6" s="2">
        <v>10.8536</v>
      </c>
      <c r="L6" s="2">
        <f>(J6-K6)/(K6-I6)</f>
        <v>8.0669384252304965E-2</v>
      </c>
      <c r="M6" s="9">
        <f>INDEX(Characterization!M:M, MATCH('Trial Metadata'!B6, Characterization!A:A, 0))*L6/(INDEX(Characterization!O:O, MATCH('Trial Metadata'!B6, Characterization!A:A, 0))*0.01)</f>
        <v>0.15600217846945749</v>
      </c>
      <c r="N6" s="8">
        <f>INDEX(Characterization!S:S, MATCH('Trial Metadata'!B6, Characterization!A:A, 0))*F6</f>
        <v>9.6250874507703837E-2</v>
      </c>
    </row>
    <row r="7" spans="1:14" x14ac:dyDescent="0.35">
      <c r="A7" t="s">
        <v>108</v>
      </c>
      <c r="B7" t="str">
        <f>Characterization!$A$2</f>
        <v>Soybean Undisturbed</v>
      </c>
      <c r="C7" s="4">
        <v>46036</v>
      </c>
      <c r="D7" s="4">
        <v>46050</v>
      </c>
      <c r="E7">
        <f t="shared" si="0"/>
        <v>14</v>
      </c>
      <c r="F7" s="2">
        <f>2.0074-0.0049</f>
        <v>2.0024999999999999</v>
      </c>
      <c r="G7" s="2">
        <v>0.50470000000000004</v>
      </c>
      <c r="H7" s="3">
        <v>-1.89</v>
      </c>
      <c r="I7" s="2">
        <v>10.321999999999999</v>
      </c>
      <c r="J7" s="2">
        <v>10.766</v>
      </c>
      <c r="K7" s="2">
        <v>10.7325</v>
      </c>
      <c r="L7" s="2">
        <f t="shared" si="1"/>
        <v>8.1607795371498232E-2</v>
      </c>
      <c r="M7" s="9">
        <f>INDEX(Characterization!M:M, MATCH('Trial Metadata'!B7, Characterization!A:A, 0))*L7/(INDEX(Characterization!O:O, MATCH('Trial Metadata'!B7, Characterization!A:A, 0))*0.01)</f>
        <v>0.15781692120303584</v>
      </c>
      <c r="N7" s="8">
        <f>INDEX(Characterization!S:S, MATCH('Trial Metadata'!B7, Characterization!A:A, 0))*F7</f>
        <v>9.6260488539018599E-2</v>
      </c>
    </row>
    <row r="8" spans="1:14" x14ac:dyDescent="0.35">
      <c r="A8" t="s">
        <v>109</v>
      </c>
      <c r="B8" t="str">
        <f>Characterization!$A$3</f>
        <v>Soybean Center</v>
      </c>
      <c r="C8" s="4">
        <v>46049</v>
      </c>
      <c r="D8" s="4">
        <v>46065</v>
      </c>
      <c r="E8">
        <f t="shared" si="0"/>
        <v>16</v>
      </c>
      <c r="F8" s="2">
        <f>2.0044-0.0043</f>
        <v>2.0000999999999998</v>
      </c>
      <c r="G8" s="2">
        <v>0.48680000000000001</v>
      </c>
      <c r="H8" s="3">
        <v>-122.78</v>
      </c>
      <c r="I8" s="2">
        <v>10.2818</v>
      </c>
      <c r="J8" s="2">
        <v>10.831799999999999</v>
      </c>
      <c r="K8" s="2">
        <v>10.809100000000001</v>
      </c>
      <c r="L8" s="2">
        <f t="shared" si="1"/>
        <v>4.3049497439784937E-2</v>
      </c>
      <c r="M8" s="9">
        <f>INDEX(Characterization!M:M, MATCH('Trial Metadata'!B8, Characterization!A:A, 0))*L8/(INDEX(Characterization!O:O, MATCH('Trial Metadata'!B8, Characterization!A:A, 0))*0.01)</f>
        <v>0.10107663253049501</v>
      </c>
      <c r="N8" s="8">
        <f>INDEX(Characterization!S:S, MATCH('Trial Metadata'!B8, Characterization!A:A, 0))*F8</f>
        <v>6.8377879154377749E-2</v>
      </c>
    </row>
    <row r="9" spans="1:14" x14ac:dyDescent="0.35">
      <c r="A9" t="s">
        <v>110</v>
      </c>
      <c r="B9" t="str">
        <f>Characterization!$A$3</f>
        <v>Soybean Center</v>
      </c>
      <c r="C9" s="4">
        <v>46049</v>
      </c>
      <c r="D9" s="4">
        <v>46065</v>
      </c>
      <c r="E9">
        <f t="shared" si="0"/>
        <v>16</v>
      </c>
      <c r="F9" s="2">
        <f>2.0053-0.0049</f>
        <v>2.0004</v>
      </c>
      <c r="G9" s="2">
        <v>0.50370000000000004</v>
      </c>
      <c r="H9" s="3">
        <v>-34.76</v>
      </c>
      <c r="I9" s="2">
        <v>10.461</v>
      </c>
      <c r="J9" s="2">
        <v>11.0146</v>
      </c>
      <c r="K9" s="2">
        <v>10.9834</v>
      </c>
      <c r="L9" s="2">
        <f t="shared" si="1"/>
        <v>5.9724349157733843E-2</v>
      </c>
      <c r="M9" s="9">
        <f>INDEX(Characterization!M:M, MATCH('Trial Metadata'!B9, Characterization!A:A, 0))*L9/(INDEX(Characterization!O:O, MATCH('Trial Metadata'!B9, Characterization!A:A, 0))*0.01)</f>
        <v>0.1402277947932625</v>
      </c>
      <c r="N9" s="8">
        <f>INDEX(Characterization!S:S, MATCH('Trial Metadata'!B9, Characterization!A:A, 0))*F9</f>
        <v>6.8388135323442456E-2</v>
      </c>
    </row>
    <row r="10" spans="1:14" x14ac:dyDescent="0.35">
      <c r="A10" t="s">
        <v>111</v>
      </c>
      <c r="B10" t="str">
        <f>Characterization!$A$3</f>
        <v>Soybean Center</v>
      </c>
      <c r="C10" s="4">
        <v>46049</v>
      </c>
      <c r="D10" s="4">
        <v>46065</v>
      </c>
      <c r="E10">
        <f t="shared" si="0"/>
        <v>16</v>
      </c>
      <c r="F10" s="2">
        <f>2.0046-0.0046</f>
        <v>2</v>
      </c>
      <c r="G10" s="2">
        <v>0.49830000000000002</v>
      </c>
      <c r="H10" s="3">
        <v>-59.35</v>
      </c>
      <c r="I10" s="2">
        <v>10.084199999999999</v>
      </c>
      <c r="J10" s="2">
        <v>10.578900000000001</v>
      </c>
      <c r="K10" s="2">
        <v>10.5703</v>
      </c>
      <c r="L10" s="2">
        <f>(J10-K10)/(K10-I10)</f>
        <v>1.7691832956184459E-2</v>
      </c>
      <c r="M10" s="9">
        <f>INDEX(Characterization!M:M, MATCH('Trial Metadata'!B10, Characterization!A:A, 0))*L10/(INDEX(Characterization!O:O, MATCH('Trial Metadata'!B10, Characterization!A:A, 0))*0.01)</f>
        <v>4.1538949461708073E-2</v>
      </c>
      <c r="N10" s="8">
        <f>INDEX(Characterization!S:S, MATCH('Trial Metadata'!B10, Characterization!A:A, 0))*F10</f>
        <v>6.8374460431356185E-2</v>
      </c>
    </row>
    <row r="11" spans="1:14" x14ac:dyDescent="0.35">
      <c r="A11" t="s">
        <v>112</v>
      </c>
      <c r="B11" t="str">
        <f>Characterization!$A$3</f>
        <v>Soybean Center</v>
      </c>
      <c r="C11" s="4">
        <v>46049</v>
      </c>
      <c r="D11" s="4">
        <v>46065</v>
      </c>
      <c r="E11">
        <f t="shared" si="0"/>
        <v>16</v>
      </c>
      <c r="F11" s="2">
        <f>2.0031-0.0014</f>
        <v>2.0017</v>
      </c>
      <c r="G11" s="2">
        <v>0.50070000000000003</v>
      </c>
      <c r="H11" s="3">
        <v>-68.349999999999994</v>
      </c>
      <c r="I11" s="2">
        <v>10.7195</v>
      </c>
      <c r="J11" s="2">
        <v>11.236000000000001</v>
      </c>
      <c r="K11" s="2">
        <v>11.225899999999999</v>
      </c>
      <c r="L11" s="2">
        <f>(J11-K11)/(K11-I11)</f>
        <v>1.9944707740918926E-2</v>
      </c>
      <c r="M11" s="9">
        <f>INDEX(Characterization!M:M, MATCH('Trial Metadata'!B11, Characterization!A:A, 0))*L11/(INDEX(Characterization!O:O, MATCH('Trial Metadata'!B11, Characterization!A:A, 0))*0.01)</f>
        <v>4.6828511716699203E-2</v>
      </c>
      <c r="N11" s="8">
        <f>INDEX(Characterization!S:S, MATCH('Trial Metadata'!B11, Characterization!A:A, 0))*F11</f>
        <v>6.8432578722722834E-2</v>
      </c>
    </row>
    <row r="12" spans="1:14" x14ac:dyDescent="0.35">
      <c r="A12" t="s">
        <v>113</v>
      </c>
      <c r="B12" t="str">
        <f>Characterization!$A$3</f>
        <v>Soybean Center</v>
      </c>
      <c r="C12" s="4">
        <v>46049</v>
      </c>
      <c r="D12" s="4">
        <v>46065</v>
      </c>
      <c r="E12">
        <f t="shared" si="0"/>
        <v>16</v>
      </c>
      <c r="F12" s="2">
        <f>2.008-0.002</f>
        <v>2.0060000000000002</v>
      </c>
      <c r="G12" s="2">
        <v>0.48420000000000002</v>
      </c>
      <c r="H12" s="3">
        <v>-47.12</v>
      </c>
      <c r="I12" s="2">
        <v>9.8863000000000003</v>
      </c>
      <c r="J12" s="2">
        <v>10.4278</v>
      </c>
      <c r="K12" s="2">
        <v>10.4108</v>
      </c>
      <c r="L12" s="2">
        <f t="shared" si="1"/>
        <v>3.2411820781695841E-2</v>
      </c>
      <c r="M12" s="9">
        <f>INDEX(Characterization!M:M, MATCH('Trial Metadata'!B12, Characterization!A:A, 0))*L12/(INDEX(Characterization!O:O, MATCH('Trial Metadata'!B12, Characterization!A:A, 0))*0.01)</f>
        <v>7.6100254210356655E-2</v>
      </c>
      <c r="N12" s="8">
        <f>INDEX(Characterization!S:S, MATCH('Trial Metadata'!B12, Characterization!A:A, 0))*F12</f>
        <v>6.8579583812650266E-2</v>
      </c>
    </row>
    <row r="13" spans="1:14" x14ac:dyDescent="0.35">
      <c r="A13" t="s">
        <v>114</v>
      </c>
      <c r="B13" t="str">
        <f>Characterization!$A$3</f>
        <v>Soybean Center</v>
      </c>
      <c r="C13" s="4">
        <v>46049</v>
      </c>
      <c r="D13" s="4">
        <v>46065</v>
      </c>
      <c r="E13">
        <f t="shared" si="0"/>
        <v>16</v>
      </c>
      <c r="F13" s="2">
        <f>2.0041-0.0035</f>
        <v>2.0006000000000004</v>
      </c>
      <c r="G13" s="2">
        <v>0.50729999999999997</v>
      </c>
      <c r="H13" s="3">
        <v>-114.39</v>
      </c>
      <c r="I13" s="2">
        <v>10.1607</v>
      </c>
      <c r="J13" s="2">
        <v>10.6844</v>
      </c>
      <c r="K13" s="2">
        <v>10.6685</v>
      </c>
      <c r="L13" s="2">
        <f t="shared" si="1"/>
        <v>3.1311539976369158E-2</v>
      </c>
      <c r="M13" s="9">
        <f>INDEX(Characterization!M:M, MATCH('Trial Metadata'!B13, Characterization!A:A, 0))*L13/(INDEX(Characterization!O:O, MATCH('Trial Metadata'!B13, Characterization!A:A, 0))*0.01)</f>
        <v>7.3516886569516715E-2</v>
      </c>
      <c r="N13" s="8">
        <f>INDEX(Characterization!S:S, MATCH('Trial Metadata'!B13, Characterization!A:A, 0))*F13</f>
        <v>6.8394972769485599E-2</v>
      </c>
    </row>
    <row r="14" spans="1:14" x14ac:dyDescent="0.35">
      <c r="A14" t="s">
        <v>58</v>
      </c>
      <c r="B14" t="str">
        <f>Characterization!$A$2</f>
        <v>Soybean Undisturbed</v>
      </c>
      <c r="C14" s="4">
        <v>46031</v>
      </c>
      <c r="F14" s="2">
        <f>2.0038-0.0083</f>
        <v>1.9955000000000001</v>
      </c>
    </row>
    <row r="15" spans="1:14" x14ac:dyDescent="0.35">
      <c r="A15" t="s">
        <v>59</v>
      </c>
      <c r="B15" t="str">
        <f>Characterization!$A$2</f>
        <v>Soybean Undisturbed</v>
      </c>
      <c r="C15" s="4">
        <v>46031</v>
      </c>
      <c r="F15" s="2">
        <f>2.0063-0.0145</f>
        <v>1.9918</v>
      </c>
    </row>
    <row r="16" spans="1:14" x14ac:dyDescent="0.35">
      <c r="A16" t="s">
        <v>60</v>
      </c>
      <c r="B16" t="str">
        <f>Characterization!$A$2</f>
        <v>Soybean Undisturbed</v>
      </c>
      <c r="C16" s="4">
        <v>46031</v>
      </c>
      <c r="F16" s="2">
        <f>2.0138-0.0145</f>
        <v>1.9992999999999999</v>
      </c>
    </row>
    <row r="17" spans="1:6" x14ac:dyDescent="0.35">
      <c r="A17" t="s">
        <v>61</v>
      </c>
      <c r="B17" t="str">
        <f>Characterization!$A$2</f>
        <v>Soybean Undisturbed</v>
      </c>
      <c r="C17" s="4">
        <v>46031</v>
      </c>
      <c r="F17" s="2">
        <f>2.0277-0.0147</f>
        <v>2.0129999999999999</v>
      </c>
    </row>
    <row r="18" spans="1:6" x14ac:dyDescent="0.35">
      <c r="A18" t="s">
        <v>62</v>
      </c>
      <c r="B18" t="str">
        <f>Characterization!$A$2</f>
        <v>Soybean Undisturbed</v>
      </c>
      <c r="C18" s="4">
        <v>46031</v>
      </c>
      <c r="F18" s="2">
        <f>2.0169-0.0108</f>
        <v>2.0061</v>
      </c>
    </row>
    <row r="19" spans="1:6" x14ac:dyDescent="0.35">
      <c r="A19" t="s">
        <v>63</v>
      </c>
      <c r="B19" t="str">
        <f>Characterization!$A$2</f>
        <v>Soybean Undisturbed</v>
      </c>
      <c r="C19" s="4">
        <v>46031</v>
      </c>
      <c r="F19" s="2">
        <f>2.0203-0.0114</f>
        <v>2.0089000000000001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465DB-3416-4852-B573-96C6ABA2B1A8}">
  <dimension ref="A1:E27"/>
  <sheetViews>
    <sheetView topLeftCell="B1" workbookViewId="0">
      <selection activeCell="E11" sqref="E11"/>
    </sheetView>
  </sheetViews>
  <sheetFormatPr defaultRowHeight="14.5" x14ac:dyDescent="0.35"/>
  <cols>
    <col min="1" max="1" width="12.26953125" bestFit="1" customWidth="1"/>
    <col min="2" max="2" width="15" bestFit="1" customWidth="1"/>
    <col min="3" max="3" width="15" customWidth="1"/>
  </cols>
  <sheetData>
    <row r="1" spans="1:5" x14ac:dyDescent="0.35">
      <c r="A1" t="s">
        <v>68</v>
      </c>
      <c r="B1" t="s">
        <v>69</v>
      </c>
      <c r="C1" t="s">
        <v>71</v>
      </c>
      <c r="D1" t="s">
        <v>70</v>
      </c>
      <c r="E1" t="s">
        <v>97</v>
      </c>
    </row>
    <row r="2" spans="1:5" x14ac:dyDescent="0.35">
      <c r="A2" t="s">
        <v>78</v>
      </c>
      <c r="B2" s="4">
        <v>45831</v>
      </c>
      <c r="C2" t="s">
        <v>72</v>
      </c>
      <c r="E2" t="s">
        <v>98</v>
      </c>
    </row>
    <row r="3" spans="1:5" x14ac:dyDescent="0.35">
      <c r="A3" t="s">
        <v>77</v>
      </c>
      <c r="B3" s="4">
        <v>45831</v>
      </c>
      <c r="C3" t="s">
        <v>72</v>
      </c>
      <c r="E3" t="s">
        <v>98</v>
      </c>
    </row>
    <row r="4" spans="1:5" x14ac:dyDescent="0.35">
      <c r="A4" t="s">
        <v>80</v>
      </c>
      <c r="B4" s="4">
        <v>45831</v>
      </c>
      <c r="C4" t="s">
        <v>72</v>
      </c>
      <c r="E4" t="s">
        <v>99</v>
      </c>
    </row>
    <row r="5" spans="1:5" x14ac:dyDescent="0.35">
      <c r="A5" t="s">
        <v>79</v>
      </c>
      <c r="B5" s="4">
        <v>45831</v>
      </c>
      <c r="C5" t="s">
        <v>72</v>
      </c>
    </row>
    <row r="6" spans="1:5" x14ac:dyDescent="0.35">
      <c r="A6" t="s">
        <v>81</v>
      </c>
      <c r="B6" s="4">
        <v>45831</v>
      </c>
      <c r="C6" t="s">
        <v>72</v>
      </c>
      <c r="E6" t="s">
        <v>99</v>
      </c>
    </row>
    <row r="7" spans="1:5" x14ac:dyDescent="0.35">
      <c r="A7" t="s">
        <v>82</v>
      </c>
      <c r="B7" s="4">
        <v>45831</v>
      </c>
      <c r="C7" t="s">
        <v>72</v>
      </c>
    </row>
    <row r="8" spans="1:5" x14ac:dyDescent="0.35">
      <c r="A8" t="s">
        <v>95</v>
      </c>
      <c r="B8" s="4">
        <v>45857</v>
      </c>
      <c r="C8" t="s">
        <v>73</v>
      </c>
    </row>
    <row r="9" spans="1:5" x14ac:dyDescent="0.35">
      <c r="A9" t="s">
        <v>96</v>
      </c>
      <c r="B9" s="4">
        <v>45857</v>
      </c>
      <c r="C9" t="s">
        <v>73</v>
      </c>
    </row>
    <row r="10" spans="1:5" x14ac:dyDescent="0.35">
      <c r="A10" t="s">
        <v>77</v>
      </c>
      <c r="B10" s="4">
        <v>45947</v>
      </c>
      <c r="C10" t="s">
        <v>74</v>
      </c>
    </row>
    <row r="11" spans="1:5" x14ac:dyDescent="0.35">
      <c r="A11" t="s">
        <v>78</v>
      </c>
      <c r="B11" s="4">
        <v>45947</v>
      </c>
      <c r="C11" t="s">
        <v>74</v>
      </c>
    </row>
    <row r="12" spans="1:5" x14ac:dyDescent="0.35">
      <c r="A12" t="s">
        <v>79</v>
      </c>
      <c r="B12" s="4">
        <v>45947</v>
      </c>
      <c r="C12" t="s">
        <v>74</v>
      </c>
    </row>
    <row r="13" spans="1:5" x14ac:dyDescent="0.35">
      <c r="A13" t="s">
        <v>80</v>
      </c>
      <c r="B13" s="4">
        <v>45947</v>
      </c>
      <c r="C13" t="s">
        <v>74</v>
      </c>
      <c r="E13" t="s">
        <v>100</v>
      </c>
    </row>
    <row r="14" spans="1:5" x14ac:dyDescent="0.35">
      <c r="A14" t="s">
        <v>81</v>
      </c>
      <c r="B14" s="4">
        <v>45947</v>
      </c>
      <c r="C14" t="s">
        <v>74</v>
      </c>
    </row>
    <row r="15" spans="1:5" x14ac:dyDescent="0.35">
      <c r="A15" t="s">
        <v>82</v>
      </c>
      <c r="B15" s="4">
        <v>45947</v>
      </c>
      <c r="C15" t="s">
        <v>74</v>
      </c>
    </row>
    <row r="16" spans="1:5" x14ac:dyDescent="0.35">
      <c r="A16" t="s">
        <v>83</v>
      </c>
      <c r="B16" s="4">
        <v>45954</v>
      </c>
      <c r="C16" t="s">
        <v>75</v>
      </c>
    </row>
    <row r="17" spans="1:3" x14ac:dyDescent="0.35">
      <c r="A17" t="s">
        <v>84</v>
      </c>
      <c r="B17" s="4">
        <v>45954</v>
      </c>
      <c r="C17" t="s">
        <v>75</v>
      </c>
    </row>
    <row r="18" spans="1:3" x14ac:dyDescent="0.35">
      <c r="A18" t="s">
        <v>89</v>
      </c>
      <c r="B18" s="4">
        <v>45954</v>
      </c>
      <c r="C18" t="s">
        <v>75</v>
      </c>
    </row>
    <row r="19" spans="1:3" x14ac:dyDescent="0.35">
      <c r="A19" t="s">
        <v>90</v>
      </c>
      <c r="B19" s="4">
        <v>45954</v>
      </c>
      <c r="C19" t="s">
        <v>76</v>
      </c>
    </row>
    <row r="20" spans="1:3" x14ac:dyDescent="0.35">
      <c r="A20" t="s">
        <v>91</v>
      </c>
      <c r="B20" s="4">
        <v>45954</v>
      </c>
      <c r="C20" t="s">
        <v>76</v>
      </c>
    </row>
    <row r="21" spans="1:3" x14ac:dyDescent="0.35">
      <c r="A21" t="s">
        <v>94</v>
      </c>
      <c r="B21" s="4">
        <v>45954</v>
      </c>
      <c r="C21" t="s">
        <v>76</v>
      </c>
    </row>
    <row r="22" spans="1:3" x14ac:dyDescent="0.35">
      <c r="A22" t="s">
        <v>93</v>
      </c>
      <c r="B22" s="4">
        <v>45954</v>
      </c>
      <c r="C22" t="s">
        <v>76</v>
      </c>
    </row>
    <row r="23" spans="1:3" x14ac:dyDescent="0.35">
      <c r="A23" t="s">
        <v>92</v>
      </c>
      <c r="B23" s="4">
        <v>45954</v>
      </c>
      <c r="C23" t="s">
        <v>76</v>
      </c>
    </row>
    <row r="24" spans="1:3" x14ac:dyDescent="0.35">
      <c r="A24" t="s">
        <v>85</v>
      </c>
      <c r="B24" s="4">
        <v>45947</v>
      </c>
      <c r="C24" t="s">
        <v>74</v>
      </c>
    </row>
    <row r="25" spans="1:3" x14ac:dyDescent="0.35">
      <c r="A25" t="s">
        <v>86</v>
      </c>
      <c r="B25" s="4">
        <v>45947</v>
      </c>
      <c r="C25" t="s">
        <v>74</v>
      </c>
    </row>
    <row r="26" spans="1:3" x14ac:dyDescent="0.35">
      <c r="A26" t="s">
        <v>87</v>
      </c>
      <c r="B26" s="4">
        <v>45947</v>
      </c>
      <c r="C26" t="s">
        <v>74</v>
      </c>
    </row>
    <row r="27" spans="1:3" x14ac:dyDescent="0.35">
      <c r="A27" t="s">
        <v>88</v>
      </c>
      <c r="B27" s="4">
        <v>45947</v>
      </c>
      <c r="C27" t="s">
        <v>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63824-F95F-4A24-9AAE-5CBB9DC71786}">
  <dimension ref="A1:F32"/>
  <sheetViews>
    <sheetView workbookViewId="0">
      <selection activeCell="F12" sqref="F12"/>
    </sheetView>
  </sheetViews>
  <sheetFormatPr defaultRowHeight="14.5" x14ac:dyDescent="0.35"/>
  <cols>
    <col min="1" max="1" width="11.1796875" bestFit="1" customWidth="1"/>
    <col min="2" max="2" width="9.453125" bestFit="1" customWidth="1"/>
  </cols>
  <sheetData>
    <row r="1" spans="1:6" x14ac:dyDescent="0.35">
      <c r="A1" t="s">
        <v>40</v>
      </c>
      <c r="B1" t="s">
        <v>38</v>
      </c>
      <c r="C1" t="s">
        <v>44</v>
      </c>
      <c r="D1" t="s">
        <v>41</v>
      </c>
      <c r="E1" t="s">
        <v>42</v>
      </c>
      <c r="F1" t="s">
        <v>43</v>
      </c>
    </row>
    <row r="2" spans="1:6" x14ac:dyDescent="0.35">
      <c r="A2" t="s">
        <v>45</v>
      </c>
      <c r="B2" s="4">
        <v>46050</v>
      </c>
      <c r="E2">
        <v>249598</v>
      </c>
    </row>
    <row r="3" spans="1:6" x14ac:dyDescent="0.35">
      <c r="A3" t="s">
        <v>45</v>
      </c>
      <c r="B3" s="4">
        <v>46050</v>
      </c>
      <c r="E3">
        <v>251517</v>
      </c>
      <c r="F3">
        <v>87039</v>
      </c>
    </row>
    <row r="4" spans="1:6" x14ac:dyDescent="0.35">
      <c r="A4" t="s">
        <v>45</v>
      </c>
      <c r="B4" s="4">
        <v>46050</v>
      </c>
      <c r="E4">
        <v>272055</v>
      </c>
    </row>
    <row r="5" spans="1:6" x14ac:dyDescent="0.35">
      <c r="A5" t="s">
        <v>45</v>
      </c>
      <c r="B5" s="4">
        <v>46050</v>
      </c>
      <c r="E5">
        <v>282520</v>
      </c>
    </row>
    <row r="6" spans="1:6" x14ac:dyDescent="0.35">
      <c r="A6" t="s">
        <v>45</v>
      </c>
      <c r="B6" s="4">
        <v>46050</v>
      </c>
      <c r="E6">
        <v>248387</v>
      </c>
      <c r="F6">
        <v>56490</v>
      </c>
    </row>
    <row r="7" spans="1:6" x14ac:dyDescent="0.35">
      <c r="A7" t="s">
        <v>39</v>
      </c>
      <c r="B7" s="4">
        <v>46050</v>
      </c>
      <c r="C7">
        <v>0</v>
      </c>
      <c r="D7" s="5">
        <v>0.60277777777777775</v>
      </c>
      <c r="E7">
        <v>225574</v>
      </c>
    </row>
    <row r="8" spans="1:6" x14ac:dyDescent="0.35">
      <c r="A8" t="s">
        <v>39</v>
      </c>
      <c r="B8" s="4">
        <v>46050</v>
      </c>
      <c r="C8">
        <v>1</v>
      </c>
      <c r="D8" s="5">
        <v>0.61944444444444446</v>
      </c>
      <c r="E8">
        <v>140498</v>
      </c>
    </row>
    <row r="9" spans="1:6" x14ac:dyDescent="0.35">
      <c r="A9" t="s">
        <v>39</v>
      </c>
      <c r="B9" s="4">
        <v>46050</v>
      </c>
      <c r="C9">
        <v>2</v>
      </c>
      <c r="D9" s="5">
        <v>0.63541666666666663</v>
      </c>
      <c r="E9">
        <v>125651</v>
      </c>
    </row>
    <row r="10" spans="1:6" x14ac:dyDescent="0.35">
      <c r="A10" t="s">
        <v>39</v>
      </c>
      <c r="B10" s="4">
        <v>46050</v>
      </c>
      <c r="C10">
        <v>3</v>
      </c>
      <c r="D10" s="5">
        <v>0.65208333333333335</v>
      </c>
      <c r="E10">
        <v>66659</v>
      </c>
    </row>
    <row r="11" spans="1:6" x14ac:dyDescent="0.35">
      <c r="A11" t="s">
        <v>39</v>
      </c>
      <c r="B11" s="4">
        <v>46050</v>
      </c>
      <c r="C11">
        <v>4</v>
      </c>
      <c r="D11" s="5">
        <v>0.6694444444444444</v>
      </c>
      <c r="E11">
        <v>47494</v>
      </c>
    </row>
    <row r="12" spans="1:6" x14ac:dyDescent="0.35">
      <c r="A12" t="s">
        <v>46</v>
      </c>
      <c r="B12" s="4">
        <v>46050</v>
      </c>
      <c r="C12">
        <v>0</v>
      </c>
      <c r="D12" s="5">
        <v>0.60555555555555551</v>
      </c>
      <c r="E12">
        <v>224243</v>
      </c>
    </row>
    <row r="13" spans="1:6" x14ac:dyDescent="0.35">
      <c r="A13" t="s">
        <v>46</v>
      </c>
      <c r="B13" s="4">
        <v>46050</v>
      </c>
      <c r="C13">
        <v>1</v>
      </c>
      <c r="D13" s="5">
        <v>0.62152777777777779</v>
      </c>
      <c r="E13">
        <v>168552</v>
      </c>
    </row>
    <row r="14" spans="1:6" x14ac:dyDescent="0.35">
      <c r="A14" t="s">
        <v>46</v>
      </c>
      <c r="B14" s="4">
        <v>46050</v>
      </c>
      <c r="C14">
        <v>2</v>
      </c>
      <c r="D14" s="5">
        <v>0.6381944444444444</v>
      </c>
      <c r="E14">
        <v>120968</v>
      </c>
    </row>
    <row r="15" spans="1:6" x14ac:dyDescent="0.35">
      <c r="A15" t="s">
        <v>46</v>
      </c>
      <c r="B15" s="4">
        <v>46050</v>
      </c>
      <c r="C15">
        <v>3</v>
      </c>
      <c r="D15" s="5">
        <v>0.65486111111111112</v>
      </c>
      <c r="E15">
        <v>83726</v>
      </c>
    </row>
    <row r="16" spans="1:6" x14ac:dyDescent="0.35">
      <c r="A16" t="s">
        <v>46</v>
      </c>
      <c r="B16" s="4">
        <v>46050</v>
      </c>
      <c r="C16">
        <v>4</v>
      </c>
      <c r="D16" s="5">
        <v>0.67222222222222228</v>
      </c>
      <c r="E16">
        <v>54544</v>
      </c>
    </row>
    <row r="17" spans="1:3" x14ac:dyDescent="0.35">
      <c r="A17" t="s">
        <v>47</v>
      </c>
      <c r="B17" s="4">
        <v>46050</v>
      </c>
      <c r="C17">
        <v>0</v>
      </c>
    </row>
    <row r="18" spans="1:3" x14ac:dyDescent="0.35">
      <c r="A18" t="s">
        <v>47</v>
      </c>
      <c r="B18" s="4">
        <v>46050</v>
      </c>
      <c r="C18">
        <v>1</v>
      </c>
    </row>
    <row r="19" spans="1:3" x14ac:dyDescent="0.35">
      <c r="A19" t="s">
        <v>47</v>
      </c>
      <c r="B19" s="4">
        <v>46050</v>
      </c>
      <c r="C19">
        <v>2</v>
      </c>
    </row>
    <row r="20" spans="1:3" x14ac:dyDescent="0.35">
      <c r="A20" t="s">
        <v>47</v>
      </c>
      <c r="B20" s="4">
        <v>46050</v>
      </c>
      <c r="C20">
        <v>3</v>
      </c>
    </row>
    <row r="21" spans="1:3" x14ac:dyDescent="0.35">
      <c r="A21" t="s">
        <v>47</v>
      </c>
      <c r="B21" s="4">
        <v>46050</v>
      </c>
      <c r="C21">
        <v>4</v>
      </c>
    </row>
    <row r="22" spans="1:3" x14ac:dyDescent="0.35">
      <c r="B22" s="4">
        <v>46050</v>
      </c>
    </row>
    <row r="23" spans="1:3" x14ac:dyDescent="0.35">
      <c r="B23" s="4">
        <v>46050</v>
      </c>
    </row>
    <row r="24" spans="1:3" x14ac:dyDescent="0.35">
      <c r="B24" s="4">
        <v>46050</v>
      </c>
    </row>
    <row r="25" spans="1:3" x14ac:dyDescent="0.35">
      <c r="B25" s="4">
        <v>46050</v>
      </c>
    </row>
    <row r="26" spans="1:3" x14ac:dyDescent="0.35">
      <c r="B26" s="4">
        <v>46050</v>
      </c>
    </row>
    <row r="27" spans="1:3" x14ac:dyDescent="0.35">
      <c r="B27" s="4">
        <v>46050</v>
      </c>
    </row>
    <row r="28" spans="1:3" x14ac:dyDescent="0.35">
      <c r="B28" s="4">
        <v>46050</v>
      </c>
    </row>
    <row r="29" spans="1:3" x14ac:dyDescent="0.35">
      <c r="B29" s="4">
        <v>46050</v>
      </c>
    </row>
    <row r="30" spans="1:3" x14ac:dyDescent="0.35">
      <c r="B30" s="4">
        <v>46050</v>
      </c>
    </row>
    <row r="31" spans="1:3" x14ac:dyDescent="0.35">
      <c r="B31" s="4">
        <v>46050</v>
      </c>
    </row>
    <row r="32" spans="1:3" x14ac:dyDescent="0.35">
      <c r="B32" s="4">
        <v>46050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4ED8B-9D6A-4DCD-8C9F-6E04025006A7}">
  <dimension ref="A1:I15"/>
  <sheetViews>
    <sheetView workbookViewId="0">
      <selection activeCell="I16" sqref="I16"/>
    </sheetView>
  </sheetViews>
  <sheetFormatPr defaultRowHeight="14.5" x14ac:dyDescent="0.35"/>
  <cols>
    <col min="1" max="1" width="12.6328125" bestFit="1" customWidth="1"/>
    <col min="2" max="2" width="10.26953125" customWidth="1"/>
    <col min="3" max="3" width="8.81640625" bestFit="1" customWidth="1"/>
    <col min="4" max="4" width="9.453125" bestFit="1" customWidth="1"/>
    <col min="5" max="5" width="10.26953125" bestFit="1" customWidth="1"/>
  </cols>
  <sheetData>
    <row r="1" spans="1:9" x14ac:dyDescent="0.35">
      <c r="A1" t="s">
        <v>35</v>
      </c>
      <c r="B1" t="s">
        <v>36</v>
      </c>
      <c r="C1" t="s">
        <v>37</v>
      </c>
      <c r="D1" t="s">
        <v>38</v>
      </c>
      <c r="E1" t="s">
        <v>48</v>
      </c>
      <c r="F1" t="s">
        <v>49</v>
      </c>
      <c r="G1" t="s">
        <v>51</v>
      </c>
      <c r="H1" t="s">
        <v>50</v>
      </c>
    </row>
    <row r="2" spans="1:9" x14ac:dyDescent="0.35">
      <c r="A2">
        <v>1.1060000000000001</v>
      </c>
      <c r="B2">
        <v>657692</v>
      </c>
      <c r="C2">
        <v>132652</v>
      </c>
      <c r="D2" s="4">
        <v>46035</v>
      </c>
    </row>
    <row r="3" spans="1:9" x14ac:dyDescent="0.35">
      <c r="A3">
        <v>1.1060000000000001</v>
      </c>
      <c r="B3">
        <v>648202</v>
      </c>
      <c r="C3">
        <v>110470</v>
      </c>
      <c r="D3" s="4">
        <v>46035</v>
      </c>
    </row>
    <row r="4" spans="1:9" x14ac:dyDescent="0.35">
      <c r="A4">
        <v>1.1060000000000001</v>
      </c>
      <c r="B4">
        <v>665511</v>
      </c>
      <c r="C4">
        <v>111721</v>
      </c>
      <c r="D4" s="4">
        <v>46035</v>
      </c>
    </row>
    <row r="5" spans="1:9" x14ac:dyDescent="0.35">
      <c r="A5">
        <v>1.1060000000000001</v>
      </c>
      <c r="B5">
        <v>658318</v>
      </c>
      <c r="C5">
        <v>118142</v>
      </c>
      <c r="D5" s="4">
        <v>46035</v>
      </c>
    </row>
    <row r="6" spans="1:9" x14ac:dyDescent="0.35">
      <c r="A6">
        <v>1.1060000000000001</v>
      </c>
      <c r="B6">
        <v>652051</v>
      </c>
      <c r="C6">
        <v>113691</v>
      </c>
      <c r="D6" s="4">
        <v>46035</v>
      </c>
      <c r="E6">
        <f>AVERAGE(B2:B6)</f>
        <v>656354.80000000005</v>
      </c>
      <c r="F6">
        <f>_xlfn.STDEV.S(B2:B6)</f>
        <v>6604.337567084227</v>
      </c>
      <c r="G6">
        <f>AVERAGE(C2:C6)</f>
        <v>117335.2</v>
      </c>
      <c r="H6">
        <f>_xlfn.STDEV.S(C2:C6)</f>
        <v>9044.1375321254382</v>
      </c>
      <c r="I6">
        <f>E6/A6</f>
        <v>593449.18625678122</v>
      </c>
    </row>
    <row r="7" spans="1:9" x14ac:dyDescent="0.35">
      <c r="A7">
        <v>1</v>
      </c>
      <c r="B7">
        <v>538634</v>
      </c>
      <c r="D7" s="4"/>
    </row>
    <row r="8" spans="1:9" x14ac:dyDescent="0.35">
      <c r="A8">
        <v>1</v>
      </c>
      <c r="B8">
        <v>528844</v>
      </c>
      <c r="D8" s="4"/>
    </row>
    <row r="9" spans="1:9" x14ac:dyDescent="0.35">
      <c r="A9">
        <v>1</v>
      </c>
      <c r="B9">
        <v>543785</v>
      </c>
    </row>
    <row r="10" spans="1:9" x14ac:dyDescent="0.35">
      <c r="A10">
        <v>1</v>
      </c>
      <c r="B10">
        <v>522798</v>
      </c>
      <c r="E10">
        <f>AVERAGE(B7:B10)</f>
        <v>533515.25</v>
      </c>
      <c r="F10">
        <f>_xlfn.STDEV.S(B7:B10)</f>
        <v>9457.7902766273401</v>
      </c>
      <c r="I10">
        <f>E10/A10</f>
        <v>533515.25</v>
      </c>
    </row>
    <row r="11" spans="1:9" x14ac:dyDescent="0.35">
      <c r="A11">
        <v>1.1060000000000001</v>
      </c>
      <c r="B11">
        <v>714044</v>
      </c>
    </row>
    <row r="12" spans="1:9" x14ac:dyDescent="0.35">
      <c r="A12">
        <v>1.1060000000000001</v>
      </c>
      <c r="B12">
        <v>704231</v>
      </c>
    </row>
    <row r="13" spans="1:9" x14ac:dyDescent="0.35">
      <c r="A13">
        <v>1.1060000000000001</v>
      </c>
      <c r="B13">
        <v>709233</v>
      </c>
    </row>
    <row r="14" spans="1:9" x14ac:dyDescent="0.35">
      <c r="A14">
        <v>1.1060000000000001</v>
      </c>
      <c r="B14">
        <v>697764</v>
      </c>
    </row>
    <row r="15" spans="1:9" x14ac:dyDescent="0.35">
      <c r="A15">
        <v>1.1060000000000001</v>
      </c>
      <c r="B15">
        <v>683599</v>
      </c>
      <c r="E15">
        <f>AVERAGE(B11:B15)</f>
        <v>701774.2</v>
      </c>
      <c r="F15">
        <f>_xlfn.STDEV.S(B11:B15)</f>
        <v>11817.753115546118</v>
      </c>
      <c r="I15">
        <f>E15/A15</f>
        <v>634515.55153707042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Characterization</vt:lpstr>
      <vt:lpstr>Oven Drying &amp; Combustion</vt:lpstr>
      <vt:lpstr>Trial Metadata</vt:lpstr>
      <vt:lpstr>Soil Sample Management</vt:lpstr>
      <vt:lpstr>01-28-26 Soy-UD</vt:lpstr>
      <vt:lpstr>H Calibration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Collin Guedel</dc:creator>
  <cp:lastModifiedBy>Collin Guedel</cp:lastModifiedBy>
  <dcterms:created xsi:type="dcterms:W3CDTF">2015-06-05T18:17:20Z</dcterms:created>
  <dcterms:modified xsi:type="dcterms:W3CDTF">2026-02-27T07:51:32Z</dcterms:modified>
</cp:coreProperties>
</file>