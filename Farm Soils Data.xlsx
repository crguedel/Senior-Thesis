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rincetonu-my.sharepoint.com/personal/cg3403_princeton_edu/Documents/Undergraduate Research/Thesis Files/Thesis Rmd Doc/"/>
    </mc:Choice>
  </mc:AlternateContent>
  <xr:revisionPtr revIDLastSave="2361" documentId="11_F25DC773A252ABDACC1048EB41DB448A5ADE58EE" xr6:coauthVersionLast="47" xr6:coauthVersionMax="47" xr10:uidLastSave="{78957F7A-7803-43E8-8B02-49C4480BC9AA}"/>
  <bookViews>
    <workbookView xWindow="25490" yWindow="8100" windowWidth="19420" windowHeight="10300" tabRatio="884" xr2:uid="{00000000-000D-0000-FFFF-FFFF00000000}"/>
  </bookViews>
  <sheets>
    <sheet name="Characterization" sheetId="1" r:id="rId1"/>
    <sheet name="Oven Drying &amp; Combustion" sheetId="2" r:id="rId2"/>
    <sheet name="Trial Metadata" sheetId="7" r:id="rId3"/>
    <sheet name="DNA Samples for Sequencing" sheetId="9" r:id="rId4"/>
    <sheet name="Soil Samples for Rutgers" sheetId="8" r:id="rId5"/>
    <sheet name="Soil Sample Management" sheetId="6" r:id="rId6"/>
    <sheet name="H Calibration" sheetId="4" r:id="rId7"/>
    <sheet name="incomplete 01-28-26 Soy-UD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9" i="9"/>
  <c r="D10" i="9"/>
  <c r="E10" i="9" s="1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E41" i="9" s="1"/>
  <c r="D42" i="9"/>
  <c r="D43" i="9"/>
  <c r="D44" i="9"/>
  <c r="D45" i="9"/>
  <c r="D46" i="9"/>
  <c r="D47" i="9"/>
  <c r="D48" i="9"/>
  <c r="D49" i="9"/>
  <c r="D50" i="9"/>
  <c r="E50" i="9" s="1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E65" i="9" s="1"/>
  <c r="D66" i="9"/>
  <c r="D67" i="9"/>
  <c r="D68" i="9"/>
  <c r="D69" i="9"/>
  <c r="D70" i="9"/>
  <c r="D71" i="9"/>
  <c r="E71" i="9" s="1"/>
  <c r="D72" i="9"/>
  <c r="D73" i="9"/>
  <c r="E73" i="9" s="1"/>
  <c r="E2" i="9"/>
  <c r="E3" i="9"/>
  <c r="E4" i="9"/>
  <c r="E5" i="9"/>
  <c r="E6" i="9"/>
  <c r="E7" i="9"/>
  <c r="E8" i="9"/>
  <c r="E9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2" i="9"/>
  <c r="E43" i="9"/>
  <c r="E44" i="9"/>
  <c r="E45" i="9"/>
  <c r="E46" i="9"/>
  <c r="E47" i="9"/>
  <c r="E48" i="9"/>
  <c r="E49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6" i="9"/>
  <c r="E67" i="9"/>
  <c r="E68" i="9"/>
  <c r="E69" i="9"/>
  <c r="E70" i="9"/>
  <c r="E72" i="9"/>
  <c r="D2" i="9"/>
  <c r="M56" i="7"/>
  <c r="M57" i="7"/>
  <c r="M58" i="7"/>
  <c r="M59" i="7"/>
  <c r="M60" i="7"/>
  <c r="M61" i="7"/>
  <c r="L61" i="7"/>
  <c r="L60" i="7"/>
  <c r="L59" i="7"/>
  <c r="L58" i="7"/>
  <c r="L57" i="7"/>
  <c r="L56" i="7"/>
  <c r="N56" i="7"/>
  <c r="N57" i="7"/>
  <c r="N58" i="7"/>
  <c r="N59" i="7"/>
  <c r="N60" i="7"/>
  <c r="N61" i="7"/>
  <c r="N62" i="7"/>
  <c r="N63" i="7"/>
  <c r="N64" i="7"/>
  <c r="N65" i="7"/>
  <c r="N66" i="7"/>
  <c r="N67" i="7"/>
  <c r="M50" i="7"/>
  <c r="N50" i="7"/>
  <c r="M51" i="7"/>
  <c r="N51" i="7"/>
  <c r="M52" i="7"/>
  <c r="N52" i="7"/>
  <c r="M53" i="7"/>
  <c r="N53" i="7"/>
  <c r="M54" i="7"/>
  <c r="N54" i="7"/>
  <c r="M55" i="7"/>
  <c r="N55" i="7"/>
  <c r="L55" i="7"/>
  <c r="L54" i="7"/>
  <c r="L53" i="7"/>
  <c r="L52" i="7"/>
  <c r="L51" i="7"/>
  <c r="L50" i="7"/>
  <c r="L44" i="7"/>
  <c r="M44" i="7"/>
  <c r="N44" i="7"/>
  <c r="L45" i="7"/>
  <c r="M45" i="7"/>
  <c r="N45" i="7"/>
  <c r="L46" i="7"/>
  <c r="M46" i="7"/>
  <c r="N46" i="7"/>
  <c r="L47" i="7"/>
  <c r="M47" i="7" s="1"/>
  <c r="N47" i="7"/>
  <c r="L48" i="7"/>
  <c r="M48" i="7"/>
  <c r="N48" i="7"/>
  <c r="L49" i="7"/>
  <c r="M49" i="7" s="1"/>
  <c r="N49" i="7"/>
  <c r="F61" i="7"/>
  <c r="F60" i="7"/>
  <c r="F59" i="7"/>
  <c r="F58" i="7"/>
  <c r="F57" i="7"/>
  <c r="F56" i="7"/>
  <c r="E51" i="7"/>
  <c r="E52" i="7"/>
  <c r="E53" i="7"/>
  <c r="E54" i="7"/>
  <c r="E55" i="7"/>
  <c r="E56" i="7"/>
  <c r="E57" i="7"/>
  <c r="E58" i="7"/>
  <c r="E59" i="7"/>
  <c r="E60" i="7"/>
  <c r="E61" i="7"/>
  <c r="E50" i="7"/>
  <c r="E45" i="7" l="1"/>
  <c r="E46" i="7"/>
  <c r="E47" i="7"/>
  <c r="E48" i="7"/>
  <c r="E49" i="7"/>
  <c r="E44" i="7"/>
  <c r="F55" i="7" l="1"/>
  <c r="F54" i="7"/>
  <c r="F53" i="7"/>
  <c r="F52" i="7"/>
  <c r="F51" i="7"/>
  <c r="F50" i="7"/>
  <c r="M43" i="7"/>
  <c r="L43" i="7"/>
  <c r="L42" i="7"/>
  <c r="M42" i="7" s="1"/>
  <c r="L41" i="7"/>
  <c r="M41" i="7" s="1"/>
  <c r="L40" i="7"/>
  <c r="M40" i="7" s="1"/>
  <c r="L39" i="7"/>
  <c r="M39" i="7" s="1"/>
  <c r="L38" i="7"/>
  <c r="M38" i="7" s="1"/>
  <c r="U6" i="1"/>
  <c r="E43" i="7"/>
  <c r="E39" i="7"/>
  <c r="E40" i="7"/>
  <c r="E41" i="7"/>
  <c r="E42" i="7"/>
  <c r="E38" i="7"/>
  <c r="F47" i="7"/>
  <c r="F49" i="7"/>
  <c r="F48" i="7"/>
  <c r="F46" i="7"/>
  <c r="F45" i="7"/>
  <c r="F44" i="7"/>
  <c r="F43" i="7"/>
  <c r="N43" i="7" s="1"/>
  <c r="F42" i="7"/>
  <c r="N42" i="7" s="1"/>
  <c r="F41" i="7"/>
  <c r="N41" i="7" s="1"/>
  <c r="F40" i="7"/>
  <c r="N40" i="7" s="1"/>
  <c r="F39" i="7"/>
  <c r="N39" i="7" s="1"/>
  <c r="F38" i="7"/>
  <c r="N38" i="7" s="1"/>
  <c r="L37" i="7"/>
  <c r="M37" i="7" s="1"/>
  <c r="L36" i="7"/>
  <c r="M36" i="7" s="1"/>
  <c r="L35" i="7"/>
  <c r="M35" i="7" s="1"/>
  <c r="L34" i="7"/>
  <c r="M34" i="7" s="1"/>
  <c r="L33" i="7"/>
  <c r="M33" i="7" s="1"/>
  <c r="L32" i="7"/>
  <c r="M32" i="7" s="1"/>
  <c r="L31" i="7"/>
  <c r="M31" i="7" s="1"/>
  <c r="L30" i="7"/>
  <c r="M30" i="7" s="1"/>
  <c r="L29" i="7"/>
  <c r="M29" i="7" s="1"/>
  <c r="L28" i="7"/>
  <c r="M28" i="7" s="1"/>
  <c r="L27" i="7"/>
  <c r="M27" i="7" s="1"/>
  <c r="L26" i="7"/>
  <c r="M26" i="7" s="1"/>
  <c r="E33" i="7"/>
  <c r="E34" i="7"/>
  <c r="E35" i="7"/>
  <c r="E36" i="7"/>
  <c r="E37" i="7"/>
  <c r="E32" i="7"/>
  <c r="F37" i="7" l="1"/>
  <c r="N37" i="7" s="1"/>
  <c r="F36" i="7"/>
  <c r="N36" i="7" s="1"/>
  <c r="F35" i="7"/>
  <c r="N35" i="7" s="1"/>
  <c r="F34" i="7"/>
  <c r="N34" i="7" s="1"/>
  <c r="F33" i="7"/>
  <c r="N33" i="7" s="1"/>
  <c r="F32" i="7"/>
  <c r="N32" i="7" s="1"/>
  <c r="F31" i="7"/>
  <c r="N31" i="7" s="1"/>
  <c r="F30" i="7"/>
  <c r="N30" i="7" s="1"/>
  <c r="F29" i="7"/>
  <c r="N29" i="7" s="1"/>
  <c r="F28" i="7"/>
  <c r="N28" i="7" s="1"/>
  <c r="F27" i="7"/>
  <c r="N27" i="7" s="1"/>
  <c r="F26" i="7"/>
  <c r="N26" i="7" s="1"/>
  <c r="K25" i="2"/>
  <c r="L25" i="2"/>
  <c r="K24" i="2"/>
  <c r="L24" i="2"/>
  <c r="K23" i="2"/>
  <c r="L23" i="2"/>
  <c r="K22" i="2"/>
  <c r="L22" i="2"/>
  <c r="R8" i="1" s="1"/>
  <c r="S8" i="1" s="1"/>
  <c r="K21" i="2"/>
  <c r="L21" i="2"/>
  <c r="K20" i="2"/>
  <c r="L20" i="2"/>
  <c r="K19" i="2"/>
  <c r="L19" i="2"/>
  <c r="K18" i="2"/>
  <c r="L18" i="2" s="1"/>
  <c r="K17" i="2"/>
  <c r="L17" i="2"/>
  <c r="K16" i="2"/>
  <c r="L16" i="2"/>
  <c r="K15" i="2"/>
  <c r="L15" i="2" s="1"/>
  <c r="K14" i="2"/>
  <c r="L14" i="2" s="1"/>
  <c r="H25" i="2"/>
  <c r="I25" i="2"/>
  <c r="I14" i="2"/>
  <c r="I15" i="2"/>
  <c r="I16" i="2"/>
  <c r="I17" i="2"/>
  <c r="I18" i="2"/>
  <c r="I19" i="2"/>
  <c r="P7" i="1" s="1"/>
  <c r="I20" i="2"/>
  <c r="I21" i="2"/>
  <c r="I22" i="2"/>
  <c r="I23" i="2"/>
  <c r="I24" i="2"/>
  <c r="H14" i="2"/>
  <c r="H15" i="2"/>
  <c r="H16" i="2"/>
  <c r="H17" i="2"/>
  <c r="H18" i="2"/>
  <c r="H19" i="2"/>
  <c r="H20" i="2"/>
  <c r="L8" i="1" s="1"/>
  <c r="H21" i="2"/>
  <c r="H22" i="2"/>
  <c r="H23" i="2"/>
  <c r="H24" i="2"/>
  <c r="G14" i="2"/>
  <c r="G15" i="2"/>
  <c r="G16" i="2"/>
  <c r="G17" i="2"/>
  <c r="G18" i="2"/>
  <c r="G19" i="2"/>
  <c r="G20" i="2"/>
  <c r="G21" i="2"/>
  <c r="G22" i="2"/>
  <c r="G23" i="2"/>
  <c r="G24" i="2"/>
  <c r="G25" i="2"/>
  <c r="E14" i="2"/>
  <c r="E15" i="2"/>
  <c r="E16" i="2"/>
  <c r="E17" i="2"/>
  <c r="E18" i="2"/>
  <c r="E19" i="2"/>
  <c r="E20" i="2"/>
  <c r="E21" i="2"/>
  <c r="E22" i="2"/>
  <c r="E23" i="2"/>
  <c r="E24" i="2"/>
  <c r="E25" i="2"/>
  <c r="R9" i="1"/>
  <c r="S9" i="1" s="1"/>
  <c r="P9" i="1"/>
  <c r="P8" i="1"/>
  <c r="P6" i="1"/>
  <c r="L9" i="1"/>
  <c r="N9" i="1" s="1"/>
  <c r="L7" i="1"/>
  <c r="N7" i="1" s="1"/>
  <c r="L6" i="1"/>
  <c r="M6" i="1" s="1"/>
  <c r="L25" i="7"/>
  <c r="L24" i="7"/>
  <c r="L23" i="7"/>
  <c r="L22" i="7"/>
  <c r="L21" i="7"/>
  <c r="L20" i="7"/>
  <c r="R7" i="1" l="1"/>
  <c r="S7" i="1" s="1"/>
  <c r="R6" i="1"/>
  <c r="S6" i="1" s="1"/>
  <c r="M9" i="1"/>
  <c r="N8" i="1"/>
  <c r="M8" i="1"/>
  <c r="M7" i="1"/>
  <c r="O9" i="1"/>
  <c r="T9" i="1" s="1"/>
  <c r="N6" i="1"/>
  <c r="O6" i="1"/>
  <c r="T6" i="1" s="1"/>
  <c r="Q6" i="1"/>
  <c r="V6" i="1" s="1"/>
  <c r="O7" i="1"/>
  <c r="T7" i="1"/>
  <c r="U7" i="1"/>
  <c r="O8" i="1"/>
  <c r="E26" i="7"/>
  <c r="E27" i="7"/>
  <c r="E28" i="7"/>
  <c r="E29" i="7"/>
  <c r="E30" i="7"/>
  <c r="E31" i="7"/>
  <c r="A25" i="2"/>
  <c r="A24" i="2"/>
  <c r="A23" i="2"/>
  <c r="A22" i="2"/>
  <c r="A21" i="2"/>
  <c r="A20" i="2"/>
  <c r="A19" i="2"/>
  <c r="A18" i="2"/>
  <c r="A17" i="2"/>
  <c r="A16" i="2"/>
  <c r="A15" i="2"/>
  <c r="A14" i="2"/>
  <c r="F24" i="7"/>
  <c r="F23" i="7"/>
  <c r="F22" i="7"/>
  <c r="F21" i="7"/>
  <c r="F20" i="7"/>
  <c r="F14" i="7"/>
  <c r="L14" i="7"/>
  <c r="L15" i="7"/>
  <c r="L16" i="7"/>
  <c r="L17" i="7"/>
  <c r="L18" i="7"/>
  <c r="L19" i="7"/>
  <c r="E21" i="7"/>
  <c r="E22" i="7"/>
  <c r="E23" i="7"/>
  <c r="E24" i="7"/>
  <c r="E25" i="7"/>
  <c r="E20" i="7"/>
  <c r="F19" i="7"/>
  <c r="F18" i="7"/>
  <c r="F17" i="7"/>
  <c r="F16" i="7"/>
  <c r="F15" i="7"/>
  <c r="E15" i="7"/>
  <c r="E16" i="7"/>
  <c r="E17" i="7"/>
  <c r="E18" i="7"/>
  <c r="E19" i="7"/>
  <c r="E14" i="7"/>
  <c r="B25" i="7"/>
  <c r="B24" i="7"/>
  <c r="B23" i="7"/>
  <c r="B22" i="7"/>
  <c r="B21" i="7"/>
  <c r="B20" i="7"/>
  <c r="B19" i="7"/>
  <c r="B18" i="7"/>
  <c r="B17" i="7"/>
  <c r="B16" i="7"/>
  <c r="B15" i="7"/>
  <c r="B14" i="7"/>
  <c r="G10" i="4"/>
  <c r="K10" i="4" s="1"/>
  <c r="G15" i="4"/>
  <c r="K15" i="4"/>
  <c r="K6" i="4"/>
  <c r="G6" i="4"/>
  <c r="L2" i="2"/>
  <c r="P2" i="1"/>
  <c r="U9" i="1" l="1"/>
  <c r="Q9" i="1"/>
  <c r="V9" i="1" s="1"/>
  <c r="Q7" i="1"/>
  <c r="V7" i="1" s="1"/>
  <c r="U8" i="1"/>
  <c r="T8" i="1"/>
  <c r="Q8" i="1"/>
  <c r="V8" i="1" s="1"/>
  <c r="L2" i="7"/>
  <c r="L11" i="7"/>
  <c r="L10" i="7"/>
  <c r="L4" i="7"/>
  <c r="L5" i="7"/>
  <c r="L7" i="7"/>
  <c r="L8" i="7"/>
  <c r="L9" i="7"/>
  <c r="L12" i="7"/>
  <c r="L13" i="7"/>
  <c r="E4" i="7"/>
  <c r="E5" i="7"/>
  <c r="E6" i="7"/>
  <c r="E7" i="7"/>
  <c r="E8" i="7"/>
  <c r="E9" i="7"/>
  <c r="E10" i="7"/>
  <c r="E11" i="7"/>
  <c r="E12" i="7"/>
  <c r="E13" i="7"/>
  <c r="E3" i="7"/>
  <c r="E2" i="7"/>
  <c r="I2" i="2"/>
  <c r="I6" i="7"/>
  <c r="L6" i="7" s="1"/>
  <c r="K3" i="7"/>
  <c r="L3" i="7" s="1"/>
  <c r="F67" i="7"/>
  <c r="F66" i="7"/>
  <c r="F65" i="7"/>
  <c r="F64" i="7"/>
  <c r="F63" i="7"/>
  <c r="F62" i="7"/>
  <c r="F10" i="7"/>
  <c r="F9" i="7"/>
  <c r="F8" i="7"/>
  <c r="F13" i="7"/>
  <c r="F12" i="7"/>
  <c r="F11" i="7"/>
  <c r="F3" i="7"/>
  <c r="F7" i="7"/>
  <c r="F6" i="7"/>
  <c r="F5" i="7"/>
  <c r="F4" i="7"/>
  <c r="F2" i="7"/>
  <c r="B9" i="7"/>
  <c r="B10" i="7"/>
  <c r="B11" i="7"/>
  <c r="B12" i="7"/>
  <c r="B13" i="7"/>
  <c r="B8" i="7"/>
  <c r="B62" i="7"/>
  <c r="B63" i="7"/>
  <c r="B64" i="7"/>
  <c r="B65" i="7"/>
  <c r="B66" i="7"/>
  <c r="B67" i="7"/>
  <c r="B3" i="7"/>
  <c r="B4" i="7"/>
  <c r="B5" i="7"/>
  <c r="B6" i="7"/>
  <c r="B7" i="7"/>
  <c r="B2" i="7"/>
  <c r="F15" i="4"/>
  <c r="E15" i="4"/>
  <c r="J15" i="4" s="1"/>
  <c r="F10" i="4"/>
  <c r="E10" i="4"/>
  <c r="J10" i="4" s="1"/>
  <c r="H6" i="4"/>
  <c r="I6" i="4"/>
  <c r="E6" i="4"/>
  <c r="J6" i="4" s="1"/>
  <c r="F6" i="4"/>
  <c r="P5" i="1"/>
  <c r="P4" i="1"/>
  <c r="P3" i="1"/>
  <c r="I3" i="2"/>
  <c r="I4" i="2"/>
  <c r="I5" i="2"/>
  <c r="I6" i="2"/>
  <c r="I7" i="2"/>
  <c r="I8" i="2"/>
  <c r="I9" i="2"/>
  <c r="I10" i="2"/>
  <c r="I11" i="2"/>
  <c r="I12" i="2"/>
  <c r="I13" i="2"/>
  <c r="K3" i="2"/>
  <c r="K4" i="2"/>
  <c r="K5" i="2"/>
  <c r="K6" i="2"/>
  <c r="K7" i="2"/>
  <c r="K8" i="2"/>
  <c r="K9" i="2"/>
  <c r="K10" i="2"/>
  <c r="K11" i="2"/>
  <c r="K12" i="2"/>
  <c r="K13" i="2"/>
  <c r="G2" i="2"/>
  <c r="K2" i="2"/>
  <c r="G3" i="2"/>
  <c r="G4" i="2"/>
  <c r="G5" i="2"/>
  <c r="G6" i="2"/>
  <c r="G7" i="2"/>
  <c r="G8" i="2"/>
  <c r="G9" i="2"/>
  <c r="G10" i="2"/>
  <c r="G11" i="2"/>
  <c r="G12" i="2"/>
  <c r="G13" i="2"/>
  <c r="E3" i="2"/>
  <c r="E4" i="2"/>
  <c r="H4" i="2" s="1"/>
  <c r="E5" i="2"/>
  <c r="E6" i="2"/>
  <c r="E7" i="2"/>
  <c r="E8" i="2"/>
  <c r="E9" i="2"/>
  <c r="E10" i="2"/>
  <c r="E11" i="2"/>
  <c r="E12" i="2"/>
  <c r="E13" i="2"/>
  <c r="A13" i="2"/>
  <c r="A12" i="2"/>
  <c r="A11" i="2"/>
  <c r="A10" i="2"/>
  <c r="A9" i="2"/>
  <c r="A8" i="2"/>
  <c r="A7" i="2"/>
  <c r="A6" i="2"/>
  <c r="A5" i="2"/>
  <c r="A4" i="2"/>
  <c r="A3" i="2"/>
  <c r="A2" i="2"/>
  <c r="E2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E3" i="1"/>
  <c r="I3" i="1" s="1"/>
  <c r="E4" i="1"/>
  <c r="I4" i="1" s="1"/>
  <c r="E5" i="1"/>
  <c r="I5" i="1" s="1"/>
  <c r="E6" i="1"/>
  <c r="I6" i="1" s="1"/>
  <c r="E7" i="1"/>
  <c r="E8" i="1"/>
  <c r="I8" i="1" s="1"/>
  <c r="E9" i="1"/>
  <c r="J9" i="1" s="1"/>
  <c r="E10" i="1"/>
  <c r="I10" i="1" s="1"/>
  <c r="E11" i="1"/>
  <c r="I11" i="1" s="1"/>
  <c r="E12" i="1"/>
  <c r="I12" i="1" s="1"/>
  <c r="E13" i="1"/>
  <c r="J13" i="1" s="1"/>
  <c r="E14" i="1"/>
  <c r="I14" i="1" s="1"/>
  <c r="E15" i="1"/>
  <c r="I15" i="1" s="1"/>
  <c r="E16" i="1"/>
  <c r="I16" i="1" s="1"/>
  <c r="E17" i="1"/>
  <c r="J17" i="1" s="1"/>
  <c r="E18" i="1"/>
  <c r="I18" i="1" s="1"/>
  <c r="E19" i="1"/>
  <c r="I19" i="1" s="1"/>
  <c r="E2" i="1"/>
  <c r="J7" i="1" l="1"/>
  <c r="N11" i="7"/>
  <c r="N13" i="7"/>
  <c r="N12" i="7"/>
  <c r="N9" i="7"/>
  <c r="L11" i="2"/>
  <c r="L10" i="2"/>
  <c r="L9" i="2"/>
  <c r="L3" i="2"/>
  <c r="I9" i="1"/>
  <c r="K9" i="1" s="1"/>
  <c r="J16" i="1"/>
  <c r="J8" i="1"/>
  <c r="K8" i="1" s="1"/>
  <c r="K16" i="1"/>
  <c r="J3" i="1"/>
  <c r="K3" i="1" s="1"/>
  <c r="I17" i="1"/>
  <c r="K17" i="1" s="1"/>
  <c r="L8" i="2"/>
  <c r="L7" i="2"/>
  <c r="H3" i="2"/>
  <c r="L6" i="2"/>
  <c r="L13" i="2"/>
  <c r="R5" i="1" s="1"/>
  <c r="S5" i="1" s="1"/>
  <c r="L5" i="2"/>
  <c r="R3" i="1" s="1"/>
  <c r="S3" i="1" s="1"/>
  <c r="N8" i="7" s="1"/>
  <c r="H2" i="2"/>
  <c r="L2" i="1" s="1"/>
  <c r="L12" i="2"/>
  <c r="L4" i="2"/>
  <c r="J15" i="1"/>
  <c r="K15" i="1" s="1"/>
  <c r="I7" i="1"/>
  <c r="K7" i="1" s="1"/>
  <c r="J6" i="1"/>
  <c r="K6" i="1" s="1"/>
  <c r="J4" i="1"/>
  <c r="I13" i="1"/>
  <c r="K13" i="1" s="1"/>
  <c r="J12" i="1"/>
  <c r="K12" i="1" s="1"/>
  <c r="J14" i="1"/>
  <c r="K14" i="1" s="1"/>
  <c r="J19" i="1"/>
  <c r="K19" i="1" s="1"/>
  <c r="J11" i="1"/>
  <c r="K11" i="1" s="1"/>
  <c r="J18" i="1"/>
  <c r="K18" i="1" s="1"/>
  <c r="J10" i="1"/>
  <c r="K10" i="1" s="1"/>
  <c r="J5" i="1"/>
  <c r="K5" i="1" s="1"/>
  <c r="K4" i="1"/>
  <c r="J2" i="1"/>
  <c r="I2" i="1"/>
  <c r="K2" i="1" s="1"/>
  <c r="H13" i="2"/>
  <c r="H12" i="2"/>
  <c r="H11" i="2"/>
  <c r="H10" i="2"/>
  <c r="H9" i="2"/>
  <c r="H8" i="2"/>
  <c r="L4" i="1" s="1"/>
  <c r="H7" i="2"/>
  <c r="H6" i="2"/>
  <c r="H5" i="2"/>
  <c r="N25" i="7" l="1"/>
  <c r="N22" i="7"/>
  <c r="N24" i="7"/>
  <c r="N20" i="7"/>
  <c r="N23" i="7"/>
  <c r="N21" i="7"/>
  <c r="N10" i="7"/>
  <c r="R4" i="1"/>
  <c r="S4" i="1" s="1"/>
  <c r="O2" i="1"/>
  <c r="M2" i="1"/>
  <c r="N2" i="1"/>
  <c r="M4" i="1"/>
  <c r="O4" i="1"/>
  <c r="N4" i="1"/>
  <c r="L5" i="1"/>
  <c r="L3" i="1"/>
  <c r="R2" i="1"/>
  <c r="S2" i="1" s="1"/>
  <c r="T4" i="1" l="1"/>
  <c r="U4" i="1"/>
  <c r="Q4" i="1"/>
  <c r="V4" i="1" s="1"/>
  <c r="Q2" i="1"/>
  <c r="V2" i="1" s="1"/>
  <c r="M19" i="7"/>
  <c r="M16" i="7"/>
  <c r="M14" i="7"/>
  <c r="M15" i="7"/>
  <c r="M18" i="7"/>
  <c r="M17" i="7"/>
  <c r="M5" i="7"/>
  <c r="M3" i="7"/>
  <c r="M2" i="7"/>
  <c r="M4" i="7"/>
  <c r="M6" i="7"/>
  <c r="M7" i="7"/>
  <c r="N19" i="7"/>
  <c r="N18" i="7"/>
  <c r="N14" i="7"/>
  <c r="N16" i="7"/>
  <c r="N17" i="7"/>
  <c r="N15" i="7"/>
  <c r="N2" i="7"/>
  <c r="N5" i="7"/>
  <c r="N7" i="7"/>
  <c r="N4" i="7"/>
  <c r="N6" i="7"/>
  <c r="N3" i="7"/>
  <c r="T2" i="1"/>
  <c r="U2" i="1"/>
  <c r="M3" i="1"/>
  <c r="O3" i="1"/>
  <c r="N3" i="1"/>
  <c r="M5" i="1"/>
  <c r="O5" i="1"/>
  <c r="N5" i="1"/>
  <c r="T3" i="1" l="1"/>
  <c r="U3" i="1"/>
  <c r="M20" i="7"/>
  <c r="M24" i="7"/>
  <c r="M21" i="7"/>
  <c r="M22" i="7"/>
  <c r="M23" i="7"/>
  <c r="M25" i="7"/>
  <c r="Q3" i="1"/>
  <c r="V3" i="1" s="1"/>
  <c r="M11" i="7"/>
  <c r="M9" i="7"/>
  <c r="M10" i="7"/>
  <c r="M12" i="7"/>
  <c r="M8" i="7"/>
  <c r="M13" i="7"/>
  <c r="T5" i="1"/>
  <c r="U5" i="1"/>
  <c r="Q5" i="1"/>
  <c r="V5" i="1" s="1"/>
</calcChain>
</file>

<file path=xl/sharedStrings.xml><?xml version="1.0" encoding="utf-8"?>
<sst xmlns="http://schemas.openxmlformats.org/spreadsheetml/2006/main" count="467" uniqueCount="265">
  <si>
    <t>Soybean Undisturbed</t>
  </si>
  <si>
    <t>Soybean Center</t>
  </si>
  <si>
    <t>Mass Grad Cyl + Soil</t>
  </si>
  <si>
    <t>Mass Soil</t>
  </si>
  <si>
    <t>Volume Water</t>
  </si>
  <si>
    <t>Volume Soil + Water</t>
  </si>
  <si>
    <t>Volume Soil Particles</t>
  </si>
  <si>
    <t>Soil Type</t>
  </si>
  <si>
    <t>Replicate</t>
  </si>
  <si>
    <t>Mass Can+Lid</t>
  </si>
  <si>
    <t>Mass Can+Lid+Soil</t>
  </si>
  <si>
    <t>Mass Can+Lid+Soil after 105 C overnight</t>
  </si>
  <si>
    <t>Mass Can+Lid+Soil after 505 C for 3 Hours</t>
  </si>
  <si>
    <t>Mass Soil after 105 C Overnight</t>
  </si>
  <si>
    <t>Mass Soil After 505 C overnight</t>
  </si>
  <si>
    <t>Avg. % OM</t>
  </si>
  <si>
    <t>Avg % SOC</t>
  </si>
  <si>
    <t>Volume Soil mL</t>
  </si>
  <si>
    <t>Mass Grad Cyl g</t>
  </si>
  <si>
    <t>Porosity Air Dry %</t>
  </si>
  <si>
    <t>Bulk Density Air Dry g/ml</t>
  </si>
  <si>
    <t>Particle Mass Density Air Dry g/ml</t>
  </si>
  <si>
    <t>Bulk Density 105 g/ml</t>
  </si>
  <si>
    <t>PMD 105 g/ml</t>
  </si>
  <si>
    <t>Porosity 105 %</t>
  </si>
  <si>
    <t>gram Water per gram air dry soil</t>
  </si>
  <si>
    <t>gram Water per gram 105 soil</t>
  </si>
  <si>
    <t>GM 105</t>
  </si>
  <si>
    <t>Base Sat. %</t>
  </si>
  <si>
    <t>g Water to add for 25%</t>
  </si>
  <si>
    <t>g Water to add for 15%</t>
  </si>
  <si>
    <t>Avg. Mass g Water/Mass g Air Dry Soil</t>
  </si>
  <si>
    <t>H2 Area</t>
  </si>
  <si>
    <t>CO Area</t>
  </si>
  <si>
    <t>Date</t>
  </si>
  <si>
    <t>Soy-UD-15-1</t>
  </si>
  <si>
    <t>Identity</t>
  </si>
  <si>
    <t>Sampling time</t>
  </si>
  <si>
    <t>H Area</t>
  </si>
  <si>
    <t>Co Area</t>
  </si>
  <si>
    <t>Timepoint</t>
  </si>
  <si>
    <t>Lab Air</t>
  </si>
  <si>
    <t>Soy-UD-15-2</t>
  </si>
  <si>
    <t>SOY-UD-15-3</t>
  </si>
  <si>
    <t>Average H2</t>
  </si>
  <si>
    <t>STD H2</t>
  </si>
  <si>
    <t>STD CO</t>
  </si>
  <si>
    <t>Avg CO</t>
  </si>
  <si>
    <t>Date of Bottling</t>
  </si>
  <si>
    <t>Date of Incubation</t>
  </si>
  <si>
    <t>Mass Soil (g)</t>
  </si>
  <si>
    <t>Mass CL (g)</t>
  </si>
  <si>
    <t>Mass CLS (g)</t>
  </si>
  <si>
    <t>Mass CLS 105 (g)</t>
  </si>
  <si>
    <t>Starved-UD-15-1</t>
  </si>
  <si>
    <t>Starved-UD-15-2</t>
  </si>
  <si>
    <t>Starved-UD-15-3</t>
  </si>
  <si>
    <t>Starved-UD-25-1</t>
  </si>
  <si>
    <t>Starved-UD-25-2</t>
  </si>
  <si>
    <t>Starved-UD-25-3</t>
  </si>
  <si>
    <t>Mass DNA (g) Soil</t>
  </si>
  <si>
    <t>(g) Water per (g) 105 soil</t>
  </si>
  <si>
    <t>Saturation</t>
  </si>
  <si>
    <t>Soil Sample Name</t>
  </si>
  <si>
    <t>Sample Name</t>
  </si>
  <si>
    <t>Date of Sampling</t>
  </si>
  <si>
    <t>OM%105</t>
  </si>
  <si>
    <t>Samplers</t>
  </si>
  <si>
    <t>CG,QQ,XZ</t>
  </si>
  <si>
    <t>QQ</t>
  </si>
  <si>
    <t>CG,QQ,EO</t>
  </si>
  <si>
    <t>CG,XZ,FP,EO</t>
  </si>
  <si>
    <t>FGF-Oregano</t>
  </si>
  <si>
    <t>FGF-Rosemary</t>
  </si>
  <si>
    <t>FGF-Sunflower</t>
  </si>
  <si>
    <t>FGF-Buckwheat</t>
  </si>
  <si>
    <t>FGF-Corn</t>
  </si>
  <si>
    <t>FGF-Sod</t>
  </si>
  <si>
    <t>Alexander-Rd-Soybean-Center</t>
  </si>
  <si>
    <t>Alexander-Rd-Soybean-Undisturbed</t>
  </si>
  <si>
    <t>Seed-Farm-Story-Garden-Old-Corn</t>
  </si>
  <si>
    <t>Seed-Farm-Story-Garden-Old-Chickpea</t>
  </si>
  <si>
    <t>Seed-Farm-Lower-Field-Collard-Greens</t>
  </si>
  <si>
    <t>Seed-Farm-Lower-Field-Winter-Cover-Crop</t>
  </si>
  <si>
    <t>Alexander-Rd-Soybean-Edge</t>
  </si>
  <si>
    <t>OFO-Front-Good</t>
  </si>
  <si>
    <t>OFO-Front-Bad-Empty</t>
  </si>
  <si>
    <t>OFO-Sod</t>
  </si>
  <si>
    <t>OFO-Back-Uphill</t>
  </si>
  <si>
    <t>OFO-Back-Downhill</t>
  </si>
  <si>
    <t>MOF-Cherry</t>
  </si>
  <si>
    <t>MOF-Asparagus</t>
  </si>
  <si>
    <t>Notes</t>
  </si>
  <si>
    <t>Plasticulture</t>
  </si>
  <si>
    <t>Young</t>
  </si>
  <si>
    <t>Formerly (mowed)</t>
  </si>
  <si>
    <t>Mass bottle SOC (g)</t>
  </si>
  <si>
    <t>Length Acclimation (days)</t>
  </si>
  <si>
    <t>Long-Soy-UD-15-1</t>
  </si>
  <si>
    <t>Long-Soy-UD-15-2</t>
  </si>
  <si>
    <t>Long-Soy-UD-15-3</t>
  </si>
  <si>
    <t>Long-Soy-UD-25-1</t>
  </si>
  <si>
    <t>Long-Soy-UD-25-2</t>
  </si>
  <si>
    <t>Long-Soy-UD-25-3</t>
  </si>
  <si>
    <t>Long-Soy-C-25-1</t>
  </si>
  <si>
    <t>Long-Soy-C-25-2</t>
  </si>
  <si>
    <t>Long-Soy-C-25-3</t>
  </si>
  <si>
    <t>Long-Soy-C-15-1</t>
  </si>
  <si>
    <t>Long-Soy-C-15-2</t>
  </si>
  <si>
    <t>Long-Soy-C-15-3</t>
  </si>
  <si>
    <t>bottle_id</t>
  </si>
  <si>
    <t>WP_mPa</t>
  </si>
  <si>
    <t>soil_type</t>
  </si>
  <si>
    <t>Range H2</t>
  </si>
  <si>
    <t>RF H2</t>
  </si>
  <si>
    <t>CG,EO</t>
  </si>
  <si>
    <t>Concentration (ppm)</t>
  </si>
  <si>
    <t>Short-Soy-UD-15-1</t>
  </si>
  <si>
    <t>Short-Soy-UD-15-2</t>
  </si>
  <si>
    <t>Short-Soy-UD-15-3</t>
  </si>
  <si>
    <t>Short-Soy-UD-25-1</t>
  </si>
  <si>
    <t>Short-Soy-UD-25-2</t>
  </si>
  <si>
    <t>Short-Soy-UD-25-3</t>
  </si>
  <si>
    <t>Short-Soy-C-15-1</t>
  </si>
  <si>
    <t>Short-Soy-C-15-2</t>
  </si>
  <si>
    <t>Short-Soy-C-15-3</t>
  </si>
  <si>
    <t>Short-Soy-C-25-1</t>
  </si>
  <si>
    <t>Short-Soy-C-25-2</t>
  </si>
  <si>
    <t>Short-Soy-C-25-3</t>
  </si>
  <si>
    <t>Crack before start</t>
  </si>
  <si>
    <t>Broken Rim</t>
  </si>
  <si>
    <t>Location Coords</t>
  </si>
  <si>
    <t>No Crack I don't think…</t>
  </si>
  <si>
    <t>Bottle Broke at End, glass in saturation can maybe?</t>
  </si>
  <si>
    <t>Code</t>
  </si>
  <si>
    <t>FGF-ROX-1 6-23-25</t>
  </si>
  <si>
    <t>FGF-ORX-1 6-23-25</t>
  </si>
  <si>
    <t>FGF-YBW-1 6-23-25</t>
  </si>
  <si>
    <t>FGF-SUN-1 6-23-25</t>
  </si>
  <si>
    <t>MOF-CH-1 7-19-25</t>
  </si>
  <si>
    <t>MOF-AS-1 7-19-25</t>
  </si>
  <si>
    <t>FGF-OR-1 10-17-25</t>
  </si>
  <si>
    <t>FGF-RO-1 10-17-25</t>
  </si>
  <si>
    <t>FGF-OSUN-1 10-17-25</t>
  </si>
  <si>
    <t>FGF-FBW-1 10-17-25</t>
  </si>
  <si>
    <t>SOY-C-1 10-24-25</t>
  </si>
  <si>
    <t>SOY-UD-1 10-24-25</t>
  </si>
  <si>
    <t>FGF-SUN-2 6-23-25</t>
  </si>
  <si>
    <t>FGF-SOD-1 10-17-25</t>
  </si>
  <si>
    <t>FGF-YBW-2 6-23-25</t>
  </si>
  <si>
    <t>FGF-CO-1 10-17-25</t>
  </si>
  <si>
    <t>FGF-YC-1 6-23-25</t>
  </si>
  <si>
    <t>FGF-SODX-1 6-23-25</t>
  </si>
  <si>
    <t>FGF-OR-15-1</t>
  </si>
  <si>
    <t>FGF-OR-15-2</t>
  </si>
  <si>
    <t>FGF-OR-15-3</t>
  </si>
  <si>
    <t>FGF-OR-25-1</t>
  </si>
  <si>
    <t>FGF-OR-25-2</t>
  </si>
  <si>
    <t>FGF-OR-25-3</t>
  </si>
  <si>
    <t>FGF Rosemary</t>
  </si>
  <si>
    <t>FGF Oregano</t>
  </si>
  <si>
    <t>FGF Sod</t>
  </si>
  <si>
    <t>FGF Sunflower</t>
  </si>
  <si>
    <t>FGF Corn</t>
  </si>
  <si>
    <t>FGF Buckwheat</t>
  </si>
  <si>
    <t>FGF-RO-15-1</t>
  </si>
  <si>
    <t>FGF-RO-15-2</t>
  </si>
  <si>
    <t>FGF-RO-15-3</t>
  </si>
  <si>
    <t>FGF-RO-25-1</t>
  </si>
  <si>
    <t>FGF-RO-25-2</t>
  </si>
  <si>
    <t>FGF-RO-25-3</t>
  </si>
  <si>
    <t>Cracked Bottom</t>
  </si>
  <si>
    <t xml:space="preserve">UNTESTED BELOW </t>
  </si>
  <si>
    <t>Percent OM per g dehydrated Soil</t>
  </si>
  <si>
    <t>WPA maybe -8.45? Forgor</t>
  </si>
  <si>
    <t>SO SLOW</t>
  </si>
  <si>
    <t>FGF-SOD-15-1</t>
  </si>
  <si>
    <t>FGF-SOD-15-2</t>
  </si>
  <si>
    <t>FGF-SOD-15-3</t>
  </si>
  <si>
    <t>FGF-SOD-25-1</t>
  </si>
  <si>
    <t>FGF-SOD-25-2</t>
  </si>
  <si>
    <t>FGF-SOD-25-3</t>
  </si>
  <si>
    <t>FGF-CORN-15-1</t>
  </si>
  <si>
    <t>FGF-CORN-15-2</t>
  </si>
  <si>
    <t>FGF-CORN-15-3</t>
  </si>
  <si>
    <t>FGF-CORN-25-1</t>
  </si>
  <si>
    <t>FGF-CORN-25-2</t>
  </si>
  <si>
    <t>FGF-CORN-25-3</t>
  </si>
  <si>
    <t>WP may be wrong, number slipped mind (but I think it was -19.something)</t>
  </si>
  <si>
    <t>FGF-FBW-15-1</t>
  </si>
  <si>
    <t>FGF-FBW-15-2</t>
  </si>
  <si>
    <t>FGF-FBW-15-3</t>
  </si>
  <si>
    <t>FGF-FBW-25-1</t>
  </si>
  <si>
    <t>FGF-FBW-25-2</t>
  </si>
  <si>
    <t>FGF-FBW-25-3</t>
  </si>
  <si>
    <t>FGF-SUN-15-1</t>
  </si>
  <si>
    <t>FGF-SUN-15-2</t>
  </si>
  <si>
    <t>FGF-SUN-15-3</t>
  </si>
  <si>
    <t>FGF-SUN-25-1</t>
  </si>
  <si>
    <t>FGF-SUN-25-2</t>
  </si>
  <si>
    <t>FGF-SUN-25-3</t>
  </si>
  <si>
    <t>Name</t>
  </si>
  <si>
    <t>Sample # (on Cap)</t>
  </si>
  <si>
    <t>FGF-RM-20-1</t>
  </si>
  <si>
    <t>FGF-RM-20-2</t>
  </si>
  <si>
    <t>FGF-RM-20-3</t>
  </si>
  <si>
    <t>FGF-SF-20-1</t>
  </si>
  <si>
    <t>FGF-SF-20-2</t>
  </si>
  <si>
    <t>FGF-SF-20-3</t>
  </si>
  <si>
    <t>FGF-OR-20-1</t>
  </si>
  <si>
    <t>FGF-OR-20-2</t>
  </si>
  <si>
    <t>FGF-OR-20-3</t>
  </si>
  <si>
    <t>FGF-SOD-20-1</t>
  </si>
  <si>
    <t>FGF-SOD-20-2</t>
  </si>
  <si>
    <t>FGF-SOD-20-3</t>
  </si>
  <si>
    <t>MF-AS-20-1</t>
  </si>
  <si>
    <t>MF-AS-20-2</t>
  </si>
  <si>
    <t>MF-AS-20-3</t>
  </si>
  <si>
    <t>FGF-BW-20-1</t>
  </si>
  <si>
    <t>FGF-BW-20-2</t>
  </si>
  <si>
    <t>FGF-BW-20-3</t>
  </si>
  <si>
    <t>MF-CH-20-1</t>
  </si>
  <si>
    <t>MF-CH-20-2</t>
  </si>
  <si>
    <t>MF-CH-20-3</t>
  </si>
  <si>
    <t>Soy-UD-15-3</t>
  </si>
  <si>
    <t>Soy-UD-25-1</t>
  </si>
  <si>
    <t>Soy-UD-25-2</t>
  </si>
  <si>
    <t>Soy-UD-25-3</t>
  </si>
  <si>
    <t>Soy-C-15-1</t>
  </si>
  <si>
    <t>Soy-C-15-2</t>
  </si>
  <si>
    <t>Soy-C-15-3</t>
  </si>
  <si>
    <t>Soy-C-25-1</t>
  </si>
  <si>
    <t>Soy-C-25-2</t>
  </si>
  <si>
    <t>Soy-C-25-3</t>
  </si>
  <si>
    <t>FGF-CO-20-1</t>
  </si>
  <si>
    <t>FGF-CO-20-2</t>
  </si>
  <si>
    <t>FGF-CO-20-3</t>
  </si>
  <si>
    <t>FGF-CO-15-1</t>
  </si>
  <si>
    <t>FGF-CO-15-2</t>
  </si>
  <si>
    <t>FGF-CO-15-3</t>
  </si>
  <si>
    <t>FGF-CO-25-1</t>
  </si>
  <si>
    <t>FGF-CO-25-2</t>
  </si>
  <si>
    <t>FGF-CO-25-3</t>
  </si>
  <si>
    <t>Sample Name Underscores</t>
  </si>
  <si>
    <t>Wrong name in nanodrop:</t>
  </si>
  <si>
    <t>Labelled as second MF-CH-20-2</t>
  </si>
  <si>
    <t>Labelled 25-1</t>
  </si>
  <si>
    <t>Realized here I had not been wiping top mount of nanodrop</t>
  </si>
  <si>
    <t>174.5 upon redo</t>
  </si>
  <si>
    <t>2nd MF-20-2 is this one - got a replicate on accident</t>
  </si>
  <si>
    <t>216.8 upon redo</t>
  </si>
  <si>
    <t>63.2 Upon redo</t>
  </si>
  <si>
    <t>133.9 redo</t>
  </si>
  <si>
    <t>450.8 on redo</t>
  </si>
  <si>
    <t>57.7 redo</t>
  </si>
  <si>
    <t>287.7 redo</t>
  </si>
  <si>
    <t>147.3 redo, 141.1 redo 2, 137.3 redo 3</t>
  </si>
  <si>
    <t>234.5 redo</t>
  </si>
  <si>
    <t>462.5 redo</t>
  </si>
  <si>
    <t>758.3 upon redo, 596.4 redo again, 619.7 redo again</t>
  </si>
  <si>
    <t>0;5014</t>
  </si>
  <si>
    <t>739.2 redo, 1138.1 redo again, 641.4 redo again</t>
  </si>
  <si>
    <t>554.5 redo, 553.1 redo again</t>
  </si>
  <si>
    <t>*OLD* NanoDrop DNA conc (ng/uL)</t>
  </si>
  <si>
    <t>Correct NanoDrop DNA Conc (ng/ul)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</si>
</sst>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%"/>
    <numFmt numFmtId="167" formatCode="mm/dd/yy;@"/>
    <numFmt numFmtId="168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9" fontId="0" fillId="0" borderId="0" xfId="1" applyFont="1"/>
    <xf numFmtId="165" fontId="0" fillId="0" borderId="0" xfId="1" applyNumberFormat="1" applyFont="1"/>
    <xf numFmtId="166" fontId="0" fillId="0" borderId="0" xfId="1" applyNumberFormat="1" applyFont="1"/>
    <xf numFmtId="2" fontId="0" fillId="2" borderId="0" xfId="0" applyNumberFormat="1" applyFill="1"/>
    <xf numFmtId="164" fontId="0" fillId="0" borderId="0" xfId="0" applyNumberFormat="1" applyAlignment="1">
      <alignment wrapText="1"/>
    </xf>
    <xf numFmtId="167" fontId="0" fillId="0" borderId="0" xfId="0" applyNumberFormat="1"/>
    <xf numFmtId="16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'Trial Metadata'!$A$14</c:f>
              <c:strCache>
                <c:ptCount val="1"/>
                <c:pt idx="0">
                  <c:v>Short-Soy-UD-15-1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'Trial Metadata'!$H$14:$H$19</c:f>
              <c:numCache>
                <c:formatCode>0.00</c:formatCode>
                <c:ptCount val="6"/>
                <c:pt idx="0">
                  <c:v>-9.0299999999999994</c:v>
                </c:pt>
                <c:pt idx="1">
                  <c:v>-5.18</c:v>
                </c:pt>
                <c:pt idx="2">
                  <c:v>-5.78</c:v>
                </c:pt>
                <c:pt idx="3">
                  <c:v>-1.1599999999999999</c:v>
                </c:pt>
                <c:pt idx="4">
                  <c:v>-1.48</c:v>
                </c:pt>
                <c:pt idx="5">
                  <c:v>-1.66</c:v>
                </c:pt>
              </c:numCache>
            </c:numRef>
          </c:xVal>
          <c:yVal>
            <c:numRef>
              <c:f>'Trial Metadata'!$M$14:$M$19</c:f>
              <c:numCache>
                <c:formatCode>0.0%</c:formatCode>
                <c:ptCount val="6"/>
                <c:pt idx="0">
                  <c:v>8.6554098540546853E-2</c:v>
                </c:pt>
                <c:pt idx="1">
                  <c:v>0.10456218218159971</c:v>
                </c:pt>
                <c:pt idx="2">
                  <c:v>9.5278024515902462E-2</c:v>
                </c:pt>
                <c:pt idx="3">
                  <c:v>0.19636418157673172</c:v>
                </c:pt>
                <c:pt idx="4">
                  <c:v>0.18604842525895229</c:v>
                </c:pt>
                <c:pt idx="5">
                  <c:v>0.14540502883805442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80-4223-9052-69640CFBEF66}"/>
            </c:ext>
          </c:extLst>
        </c:ser>
        <c:ser>
          <c:idx val="1"/>
          <c:order val="1"/>
          <c:tx>
            <c:strRef>
              <c:f>'Trial Metadata'!$A$20</c:f>
              <c:strCache>
                <c:ptCount val="1"/>
                <c:pt idx="0">
                  <c:v>Short-Soy-C-15-1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'Trial Metadata'!$H$20:$H$25</c:f>
              <c:numCache>
                <c:formatCode>0.00</c:formatCode>
                <c:ptCount val="6"/>
                <c:pt idx="0">
                  <c:v>-5.72</c:v>
                </c:pt>
                <c:pt idx="1">
                  <c:v>-6.49</c:v>
                </c:pt>
                <c:pt idx="2">
                  <c:v>-11.78</c:v>
                </c:pt>
                <c:pt idx="3">
                  <c:v>-0.83</c:v>
                </c:pt>
                <c:pt idx="4">
                  <c:v>-1.36</c:v>
                </c:pt>
                <c:pt idx="5">
                  <c:v>-3.92</c:v>
                </c:pt>
              </c:numCache>
            </c:numRef>
          </c:xVal>
          <c:yVal>
            <c:numRef>
              <c:f>'Trial Metadata'!$M$20:$M$25</c:f>
              <c:numCache>
                <c:formatCode>0.0%</c:formatCode>
                <c:ptCount val="6"/>
                <c:pt idx="0">
                  <c:v>0.11055213004484259</c:v>
                </c:pt>
                <c:pt idx="1">
                  <c:v>9.9517848212055879E-2</c:v>
                </c:pt>
                <c:pt idx="2">
                  <c:v>0.10000719493476481</c:v>
                </c:pt>
                <c:pt idx="3">
                  <c:v>0.28234736301597274</c:v>
                </c:pt>
                <c:pt idx="4">
                  <c:v>0.20396043771044287</c:v>
                </c:pt>
                <c:pt idx="5">
                  <c:v>0.14075461776112638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D4-47E0-9FAA-C066169AC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615615"/>
        <c:axId val="589618015"/>
      </c:scatterChart>
      <c:valAx>
        <c:axId val="58961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18015"/>
        <c:crosses val="autoZero"/>
        <c:crossBetween val="midCat"/>
      </c:valAx>
      <c:valAx>
        <c:axId val="58961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15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390525</xdr:colOff>
      <xdr:row>22</xdr:row>
      <xdr:rowOff>31750</xdr:rowOff>
    </xdr:from>
    <xdr:to>
      <xdr:col>27</xdr:col>
      <xdr:colOff>352425</xdr:colOff>
      <xdr:row>67</xdr:row>
      <xdr:rowOff>21896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219D6A-FB23-39E1-C868-993A7E93D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L10" sqref="L10"/>
    </sheetView>
  </sheetViews>
  <sheetFormatPr defaultRowHeight="14.5" x14ac:dyDescent="0.35"/>
  <cols>
    <col min="1" max="1" width="18.90625" bestFit="1" customWidth="1"/>
    <col min="2" max="2" width="9.7265625" bestFit="1" customWidth="1"/>
    <col min="3" max="3" width="7.1796875" bestFit="1" customWidth="1"/>
    <col min="4" max="4" width="9.7265625" bestFit="1" customWidth="1"/>
    <col min="5" max="5" width="5.1796875" bestFit="1" customWidth="1"/>
    <col min="6" max="6" width="7.1796875" bestFit="1" customWidth="1"/>
    <col min="7" max="7" width="7.7265625" customWidth="1"/>
    <col min="8" max="8" width="7.7265625" bestFit="1" customWidth="1"/>
    <col min="9" max="9" width="9.90625" customWidth="1"/>
    <col min="10" max="10" width="14" style="3" customWidth="1"/>
    <col min="11" max="11" width="7.54296875" bestFit="1" customWidth="1"/>
    <col min="12" max="12" width="11.1796875" style="2" bestFit="1" customWidth="1"/>
    <col min="13" max="14" width="11.1796875" style="2" customWidth="1"/>
    <col min="15" max="17" width="8.81640625" style="3" customWidth="1"/>
    <col min="18" max="18" width="7.90625" style="2" bestFit="1" customWidth="1"/>
    <col min="19" max="21" width="8.7265625" style="6"/>
    <col min="22" max="22" width="9.36328125" bestFit="1" customWidth="1"/>
  </cols>
  <sheetData>
    <row r="1" spans="1:22" s="1" customFormat="1" ht="58" x14ac:dyDescent="0.35">
      <c r="A1" s="1" t="s">
        <v>63</v>
      </c>
      <c r="B1" s="1" t="s">
        <v>18</v>
      </c>
      <c r="C1" s="1" t="s">
        <v>17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20</v>
      </c>
      <c r="J1" s="1" t="s">
        <v>21</v>
      </c>
      <c r="K1" s="1" t="s">
        <v>19</v>
      </c>
      <c r="L1" s="1" t="s">
        <v>31</v>
      </c>
      <c r="M1" s="1" t="s">
        <v>22</v>
      </c>
      <c r="N1" s="1" t="s">
        <v>23</v>
      </c>
      <c r="O1" s="1" t="s">
        <v>24</v>
      </c>
      <c r="P1" s="1" t="s">
        <v>27</v>
      </c>
      <c r="Q1" s="1" t="s">
        <v>28</v>
      </c>
      <c r="R1" s="1" t="s">
        <v>15</v>
      </c>
      <c r="S1" s="1" t="s">
        <v>16</v>
      </c>
      <c r="T1" s="1" t="s">
        <v>30</v>
      </c>
      <c r="U1" s="1" t="s">
        <v>29</v>
      </c>
    </row>
    <row r="2" spans="1:22" x14ac:dyDescent="0.35">
      <c r="A2" t="s">
        <v>0</v>
      </c>
      <c r="B2">
        <v>42.33</v>
      </c>
      <c r="C2">
        <v>50</v>
      </c>
      <c r="D2">
        <v>92.61</v>
      </c>
      <c r="E2">
        <f>D2-B2</f>
        <v>50.28</v>
      </c>
      <c r="F2">
        <v>50</v>
      </c>
      <c r="G2">
        <v>74</v>
      </c>
      <c r="H2">
        <f>G2-F2</f>
        <v>24</v>
      </c>
      <c r="I2">
        <f>E2/C2</f>
        <v>1.0056</v>
      </c>
      <c r="J2" s="3">
        <f>E2/H2</f>
        <v>2.0950000000000002</v>
      </c>
      <c r="K2">
        <f>100-(100*I2/J2)</f>
        <v>52</v>
      </c>
      <c r="L2" s="2">
        <f>AVERAGE('Oven Drying &amp; Combustion'!H2:H4)</f>
        <v>2.0454739731233226E-2</v>
      </c>
      <c r="M2" s="2">
        <f>I2*(1-$L2)</f>
        <v>0.98503071372627193</v>
      </c>
      <c r="N2" s="2">
        <f>J2*(1-$L2)</f>
        <v>2.0521473202630665</v>
      </c>
      <c r="O2" s="3">
        <f>K2*(1-$L2)</f>
        <v>50.936353533975868</v>
      </c>
      <c r="P2" s="2">
        <f>AVERAGE('Oven Drying &amp; Combustion'!I2:I4)</f>
        <v>2.0882128689861692E-2</v>
      </c>
      <c r="Q2" s="9">
        <f>P2*M2/(0.01*O2)</f>
        <v>4.0382824251009468E-2</v>
      </c>
      <c r="R2" s="9">
        <f>AVERAGE('Oven Drying &amp; Combustion'!L2:L4)</f>
        <v>8.2879580299641487E-2</v>
      </c>
      <c r="S2" s="7">
        <f>R2*0.58</f>
        <v>4.8070156573792058E-2</v>
      </c>
      <c r="T2" s="6">
        <f>(15*$O2*(2*(1-$L2))*(10^-4)/$M2)-(2*$L2)</f>
        <v>0.11104861580595798</v>
      </c>
      <c r="U2" s="6">
        <f>25*$O2*(2*(1-$L2))*(10^-4)/$M2-(2*$L2)</f>
        <v>0.21235401265157425</v>
      </c>
      <c r="V2" s="6">
        <f>Q2/P2</f>
        <v>1.9338461538461544</v>
      </c>
    </row>
    <row r="3" spans="1:22" x14ac:dyDescent="0.35">
      <c r="A3" t="s">
        <v>1</v>
      </c>
      <c r="B3">
        <v>121.07</v>
      </c>
      <c r="C3">
        <v>50</v>
      </c>
      <c r="D3">
        <v>177.42</v>
      </c>
      <c r="E3">
        <f t="shared" ref="E3:E19" si="0">D3-B3</f>
        <v>56.349999999999994</v>
      </c>
      <c r="F3">
        <v>50</v>
      </c>
      <c r="G3">
        <v>76</v>
      </c>
      <c r="H3">
        <f t="shared" ref="H3:H19" si="1">G3-F3</f>
        <v>26</v>
      </c>
      <c r="I3">
        <f t="shared" ref="I3:I19" si="2">E3/C3</f>
        <v>1.1269999999999998</v>
      </c>
      <c r="J3" s="3">
        <f t="shared" ref="J3:J19" si="3">E3/H3</f>
        <v>2.1673076923076922</v>
      </c>
      <c r="K3">
        <f t="shared" ref="K3:K19" si="4">100-(100*I3/J3)</f>
        <v>48.000000000000007</v>
      </c>
      <c r="L3" s="2">
        <f>AVERAGE('Oven Drying &amp; Combustion'!H5:H7)</f>
        <v>2.0842425915958248E-2</v>
      </c>
      <c r="M3" s="2">
        <f t="shared" ref="M3:O5" si="5">I3*(1-$L3)</f>
        <v>1.1035105859927148</v>
      </c>
      <c r="N3" s="2">
        <f t="shared" si="5"/>
        <v>2.1221357422936826</v>
      </c>
      <c r="O3" s="3">
        <f t="shared" si="5"/>
        <v>46.999563556034012</v>
      </c>
      <c r="P3" s="2">
        <f>AVERAGE('Oven Drying &amp; Combustion'!I5:I7)</f>
        <v>2.1286444450847018E-2</v>
      </c>
      <c r="Q3" s="9">
        <f t="shared" ref="Q3:Q5" si="6">P3*M3/(0.01*O3)</f>
        <v>4.9978797700217868E-2</v>
      </c>
      <c r="R3" s="9">
        <f>AVERAGE('Oven Drying &amp; Combustion'!L5:L7)</f>
        <v>5.8943500371858783E-2</v>
      </c>
      <c r="S3" s="7">
        <f t="shared" ref="S3:S5" si="7">R3*0.58</f>
        <v>3.4187230215678092E-2</v>
      </c>
      <c r="T3" s="6">
        <f t="shared" ref="T3:T9" si="8">(15*$O3*(2*(1-$L3))*(10^-4)/$M3)-(2*$L3)</f>
        <v>8.3424900313693151E-2</v>
      </c>
      <c r="U3" s="6">
        <f>25*$O3*(2*(1-$L3))*(10^-4)/$M3-(2*$L3)</f>
        <v>0.16683140174409958</v>
      </c>
      <c r="V3" s="6">
        <f>Q3/P3</f>
        <v>2.3479166666666655</v>
      </c>
    </row>
    <row r="4" spans="1:22" x14ac:dyDescent="0.35">
      <c r="A4" t="s">
        <v>159</v>
      </c>
      <c r="B4">
        <v>120.41</v>
      </c>
      <c r="C4">
        <v>50</v>
      </c>
      <c r="D4">
        <v>180.68</v>
      </c>
      <c r="E4">
        <f t="shared" si="0"/>
        <v>60.27000000000001</v>
      </c>
      <c r="F4">
        <v>50</v>
      </c>
      <c r="G4">
        <v>79</v>
      </c>
      <c r="H4">
        <f t="shared" si="1"/>
        <v>29</v>
      </c>
      <c r="I4">
        <f t="shared" si="2"/>
        <v>1.2054000000000002</v>
      </c>
      <c r="J4" s="3">
        <f t="shared" si="3"/>
        <v>2.0782758620689661</v>
      </c>
      <c r="K4">
        <f t="shared" si="4"/>
        <v>42.000000000000007</v>
      </c>
      <c r="L4" s="2">
        <f>AVERAGE('Oven Drying &amp; Combustion'!H8:H10)</f>
        <v>2.6174236802495324E-2</v>
      </c>
      <c r="M4" s="2">
        <f t="shared" si="5"/>
        <v>1.1738495749582725</v>
      </c>
      <c r="N4" s="2">
        <f t="shared" si="5"/>
        <v>2.0238785775142629</v>
      </c>
      <c r="O4" s="3">
        <f t="shared" si="5"/>
        <v>40.900682054295203</v>
      </c>
      <c r="P4" s="2">
        <f>AVERAGE('Oven Drying &amp; Combustion'!I8:I10)</f>
        <v>2.6877913815344396E-2</v>
      </c>
      <c r="Q4" s="9">
        <f t="shared" si="6"/>
        <v>7.7139612650038436E-2</v>
      </c>
      <c r="R4" s="9">
        <f>AVERAGE('Oven Drying &amp; Combustion'!L8:L10)</f>
        <v>7.7033603747011861E-2</v>
      </c>
      <c r="S4" s="7">
        <f t="shared" si="7"/>
        <v>4.4679490173266875E-2</v>
      </c>
      <c r="T4" s="6">
        <f t="shared" si="8"/>
        <v>4.9445160178720624E-2</v>
      </c>
      <c r="U4" s="6">
        <f t="shared" ref="U4:U9" si="9">25*$O4*(2*(1-$L4))*(10^-4)/$M4-(2*$L4)</f>
        <v>0.11730758270119482</v>
      </c>
      <c r="V4" s="6">
        <f t="shared" ref="V4:V5" si="10">Q4/P4</f>
        <v>2.8700000000000006</v>
      </c>
    </row>
    <row r="5" spans="1:22" x14ac:dyDescent="0.35">
      <c r="A5" t="s">
        <v>160</v>
      </c>
      <c r="B5">
        <v>121.46</v>
      </c>
      <c r="C5">
        <v>50</v>
      </c>
      <c r="D5">
        <v>184.44</v>
      </c>
      <c r="E5">
        <f t="shared" si="0"/>
        <v>62.980000000000004</v>
      </c>
      <c r="F5">
        <v>50</v>
      </c>
      <c r="G5">
        <v>79</v>
      </c>
      <c r="H5">
        <f t="shared" si="1"/>
        <v>29</v>
      </c>
      <c r="I5">
        <f t="shared" si="2"/>
        <v>1.2596000000000001</v>
      </c>
      <c r="J5" s="3">
        <f t="shared" si="3"/>
        <v>2.1717241379310348</v>
      </c>
      <c r="K5">
        <f t="shared" si="4"/>
        <v>42.000000000000007</v>
      </c>
      <c r="L5" s="2">
        <f>AVERAGE('Oven Drying &amp; Combustion'!H11:H13)</f>
        <v>2.1226709688612583E-2</v>
      </c>
      <c r="M5" s="2">
        <f t="shared" si="5"/>
        <v>1.2328628364762235</v>
      </c>
      <c r="N5" s="2">
        <f t="shared" si="5"/>
        <v>2.1256255801314201</v>
      </c>
      <c r="O5" s="3">
        <f t="shared" si="5"/>
        <v>41.108478193078277</v>
      </c>
      <c r="P5" s="2">
        <f>AVERAGE('Oven Drying &amp; Combustion'!I11:I13)</f>
        <v>2.1687842348556283E-2</v>
      </c>
      <c r="Q5" s="9">
        <f t="shared" si="6"/>
        <v>6.5042871957717824E-2</v>
      </c>
      <c r="R5" s="9">
        <f>AVERAGE('Oven Drying &amp; Combustion'!L11:L13)</f>
        <v>6.8702090373020733E-2</v>
      </c>
      <c r="S5" s="7">
        <f t="shared" si="7"/>
        <v>3.9847212416352022E-2</v>
      </c>
      <c r="T5" s="6">
        <f t="shared" si="8"/>
        <v>5.5454991689172749E-2</v>
      </c>
      <c r="U5" s="6">
        <f t="shared" si="9"/>
        <v>0.12072726573343809</v>
      </c>
      <c r="V5" s="6">
        <f t="shared" si="10"/>
        <v>2.9990476190476181</v>
      </c>
    </row>
    <row r="6" spans="1:22" x14ac:dyDescent="0.35">
      <c r="A6" t="s">
        <v>164</v>
      </c>
      <c r="B6">
        <v>121.47</v>
      </c>
      <c r="C6">
        <v>50</v>
      </c>
      <c r="D6">
        <v>176.61</v>
      </c>
      <c r="E6">
        <f t="shared" si="0"/>
        <v>55.140000000000015</v>
      </c>
      <c r="F6">
        <v>50</v>
      </c>
      <c r="G6">
        <v>76</v>
      </c>
      <c r="H6">
        <f t="shared" si="1"/>
        <v>26</v>
      </c>
      <c r="I6">
        <f t="shared" si="2"/>
        <v>1.1028000000000002</v>
      </c>
      <c r="J6" s="3">
        <f t="shared" si="3"/>
        <v>2.1207692307692314</v>
      </c>
      <c r="K6">
        <f t="shared" si="4"/>
        <v>48</v>
      </c>
      <c r="L6" s="2">
        <f>AVERAGE('Oven Drying &amp; Combustion'!H14:H16)</f>
        <v>2.2813220184722833E-2</v>
      </c>
      <c r="M6" s="2">
        <f t="shared" ref="M6:M9" si="11">I6*(1-$L6)</f>
        <v>1.0776415807802879</v>
      </c>
      <c r="N6" s="2">
        <f t="shared" ref="N6:N9" si="12">J6*(1-$L6)</f>
        <v>2.0723876553467075</v>
      </c>
      <c r="O6" s="3">
        <f t="shared" ref="O6:O9" si="13">K6*(1-$L6)</f>
        <v>46.904965431133306</v>
      </c>
      <c r="P6" s="2">
        <f>AVERAGE('Oven Drying &amp; Combustion'!I14:I16)</f>
        <v>2.3346482594926204E-2</v>
      </c>
      <c r="Q6" s="9">
        <f t="shared" ref="Q6:Q9" si="14">P6*M6/(0.01*O6)</f>
        <v>5.3638543761842968E-2</v>
      </c>
      <c r="R6" s="9">
        <f>AVERAGE('Oven Drying &amp; Combustion'!L14:L16)</f>
        <v>6.7781429852761907E-2</v>
      </c>
      <c r="S6" s="7">
        <f t="shared" ref="S6:S9" si="15">R6*0.58</f>
        <v>3.9313229314601905E-2</v>
      </c>
      <c r="T6" s="6">
        <f t="shared" si="8"/>
        <v>8.1971398126564399E-2</v>
      </c>
      <c r="U6" s="6">
        <f>25*$O6*(2*(1-$L6))*(10^-4)/$M6-(2*$L6)</f>
        <v>0.1670366237905711</v>
      </c>
      <c r="V6" s="6">
        <f t="shared" ref="V6:V9" si="16">Q6/P6</f>
        <v>2.2975000000000008</v>
      </c>
    </row>
    <row r="7" spans="1:22" x14ac:dyDescent="0.35">
      <c r="A7" t="s">
        <v>161</v>
      </c>
      <c r="B7">
        <v>121.01</v>
      </c>
      <c r="C7">
        <v>50</v>
      </c>
      <c r="D7">
        <v>172.31</v>
      </c>
      <c r="E7">
        <f t="shared" si="0"/>
        <v>51.3</v>
      </c>
      <c r="F7">
        <v>50</v>
      </c>
      <c r="G7">
        <v>76</v>
      </c>
      <c r="H7">
        <f t="shared" si="1"/>
        <v>26</v>
      </c>
      <c r="I7">
        <f t="shared" si="2"/>
        <v>1.026</v>
      </c>
      <c r="J7" s="3">
        <f t="shared" si="3"/>
        <v>1.973076923076923</v>
      </c>
      <c r="K7">
        <f t="shared" si="4"/>
        <v>47.999999999999993</v>
      </c>
      <c r="L7" s="2">
        <f>AVERAGE('Oven Drying &amp; Combustion'!H17:H19)</f>
        <v>2.8139439781671074E-2</v>
      </c>
      <c r="M7" s="2">
        <f t="shared" si="11"/>
        <v>0.99712893478400544</v>
      </c>
      <c r="N7" s="2">
        <f t="shared" si="12"/>
        <v>1.9175556438153949</v>
      </c>
      <c r="O7" s="3">
        <f t="shared" si="13"/>
        <v>46.649306890479778</v>
      </c>
      <c r="P7" s="2">
        <f>AVERAGE('Oven Drying &amp; Combustion'!I17:I19)</f>
        <v>2.8954669032480198E-2</v>
      </c>
      <c r="Q7" s="9">
        <f t="shared" si="14"/>
        <v>6.1890605056926437E-2</v>
      </c>
      <c r="R7" s="9">
        <f>AVERAGE('Oven Drying &amp; Combustion'!L17:L19)</f>
        <v>0.11499575663204196</v>
      </c>
      <c r="S7" s="7">
        <f t="shared" si="15"/>
        <v>6.6697538846584331E-2</v>
      </c>
      <c r="T7" s="6">
        <f t="shared" si="8"/>
        <v>8.0122602572563623E-2</v>
      </c>
      <c r="U7" s="6">
        <f t="shared" si="9"/>
        <v>0.17105692399650083</v>
      </c>
      <c r="V7" s="6">
        <f t="shared" si="16"/>
        <v>2.1375000000000006</v>
      </c>
    </row>
    <row r="8" spans="1:22" x14ac:dyDescent="0.35">
      <c r="A8" t="s">
        <v>162</v>
      </c>
      <c r="B8">
        <v>126.95</v>
      </c>
      <c r="C8">
        <v>50</v>
      </c>
      <c r="D8">
        <v>190.3</v>
      </c>
      <c r="E8">
        <f t="shared" si="0"/>
        <v>63.350000000000009</v>
      </c>
      <c r="F8">
        <v>50</v>
      </c>
      <c r="G8">
        <v>78</v>
      </c>
      <c r="H8">
        <f t="shared" si="1"/>
        <v>28</v>
      </c>
      <c r="I8">
        <f t="shared" si="2"/>
        <v>1.2670000000000001</v>
      </c>
      <c r="J8" s="3">
        <f t="shared" si="3"/>
        <v>2.2625000000000002</v>
      </c>
      <c r="K8">
        <f t="shared" si="4"/>
        <v>44</v>
      </c>
      <c r="L8" s="2">
        <f>AVERAGE('Oven Drying &amp; Combustion'!H20:H22)</f>
        <v>2.2388381229477543E-2</v>
      </c>
      <c r="M8" s="2">
        <f t="shared" si="11"/>
        <v>1.2386339209822521</v>
      </c>
      <c r="N8" s="2">
        <f t="shared" si="12"/>
        <v>2.2118462874683074</v>
      </c>
      <c r="O8" s="3">
        <f t="shared" si="13"/>
        <v>43.014911225902992</v>
      </c>
      <c r="P8" s="2">
        <f>AVERAGE('Oven Drying &amp; Combustion'!I20:I22)</f>
        <v>2.2901165307932209E-2</v>
      </c>
      <c r="Q8" s="9">
        <f t="shared" si="14"/>
        <v>6.5944946466250251E-2</v>
      </c>
      <c r="R8" s="9">
        <f>AVERAGE('Oven Drying &amp; Combustion'!L20:L22)</f>
        <v>7.0265409564747972E-2</v>
      </c>
      <c r="S8" s="7">
        <f t="shared" si="15"/>
        <v>4.0753937547553819E-2</v>
      </c>
      <c r="T8" s="6">
        <f t="shared" si="8"/>
        <v>5.707385607120196E-2</v>
      </c>
      <c r="U8" s="6">
        <f t="shared" si="9"/>
        <v>0.12497426842463996</v>
      </c>
      <c r="V8" s="6">
        <f t="shared" si="16"/>
        <v>2.8795454545454549</v>
      </c>
    </row>
    <row r="9" spans="1:22" x14ac:dyDescent="0.35">
      <c r="A9" t="s">
        <v>163</v>
      </c>
      <c r="B9">
        <v>42.34</v>
      </c>
      <c r="C9">
        <v>50</v>
      </c>
      <c r="D9">
        <v>105.13</v>
      </c>
      <c r="E9">
        <f t="shared" si="0"/>
        <v>62.789999999999992</v>
      </c>
      <c r="F9">
        <v>50</v>
      </c>
      <c r="G9">
        <v>78</v>
      </c>
      <c r="H9">
        <f t="shared" si="1"/>
        <v>28</v>
      </c>
      <c r="I9">
        <f t="shared" si="2"/>
        <v>1.2557999999999998</v>
      </c>
      <c r="J9" s="3">
        <f t="shared" si="3"/>
        <v>2.2424999999999997</v>
      </c>
      <c r="K9">
        <f t="shared" si="4"/>
        <v>44</v>
      </c>
      <c r="L9" s="2">
        <f>AVERAGE('Oven Drying &amp; Combustion'!H23:H25)</f>
        <v>2.2857187404085832E-2</v>
      </c>
      <c r="M9" s="2">
        <f t="shared" si="11"/>
        <v>1.2270959440579488</v>
      </c>
      <c r="N9" s="2">
        <f t="shared" si="12"/>
        <v>2.1912427572463371</v>
      </c>
      <c r="O9" s="3">
        <f t="shared" si="13"/>
        <v>42.994283754220227</v>
      </c>
      <c r="P9" s="2">
        <f>AVERAGE('Oven Drying &amp; Combustion'!I23:I25)</f>
        <v>2.3393009270672862E-2</v>
      </c>
      <c r="Q9" s="9">
        <f t="shared" si="14"/>
        <v>6.6765775095706748E-2</v>
      </c>
      <c r="R9" s="9">
        <f>AVERAGE('Oven Drying &amp; Combustion'!L23:L25)</f>
        <v>6.8808094361031288E-2</v>
      </c>
      <c r="S9" s="7">
        <f t="shared" si="15"/>
        <v>3.9908694729398148E-2</v>
      </c>
      <c r="T9" s="6">
        <f t="shared" si="8"/>
        <v>5.6995333156998514E-2</v>
      </c>
      <c r="U9" s="6">
        <f t="shared" si="9"/>
        <v>0.12546847180044526</v>
      </c>
      <c r="V9" s="6">
        <f t="shared" si="16"/>
        <v>2.8540909090909081</v>
      </c>
    </row>
    <row r="10" spans="1:22" x14ac:dyDescent="0.35">
      <c r="C10">
        <v>50</v>
      </c>
      <c r="E10">
        <f t="shared" si="0"/>
        <v>0</v>
      </c>
      <c r="F10">
        <v>50</v>
      </c>
      <c r="H10">
        <f t="shared" si="1"/>
        <v>-50</v>
      </c>
      <c r="I10">
        <f t="shared" si="2"/>
        <v>0</v>
      </c>
      <c r="J10" s="3">
        <f t="shared" si="3"/>
        <v>0</v>
      </c>
      <c r="K10" t="e">
        <f t="shared" si="4"/>
        <v>#DIV/0!</v>
      </c>
    </row>
    <row r="11" spans="1:22" x14ac:dyDescent="0.35">
      <c r="C11">
        <v>50</v>
      </c>
      <c r="E11">
        <f t="shared" si="0"/>
        <v>0</v>
      </c>
      <c r="F11">
        <v>50</v>
      </c>
      <c r="H11">
        <f t="shared" si="1"/>
        <v>-50</v>
      </c>
      <c r="I11">
        <f t="shared" si="2"/>
        <v>0</v>
      </c>
      <c r="J11" s="3">
        <f t="shared" si="3"/>
        <v>0</v>
      </c>
      <c r="K11" t="e">
        <f t="shared" si="4"/>
        <v>#DIV/0!</v>
      </c>
    </row>
    <row r="12" spans="1:22" x14ac:dyDescent="0.35">
      <c r="C12">
        <v>50</v>
      </c>
      <c r="E12">
        <f t="shared" si="0"/>
        <v>0</v>
      </c>
      <c r="F12">
        <v>50</v>
      </c>
      <c r="H12">
        <f t="shared" si="1"/>
        <v>-50</v>
      </c>
      <c r="I12">
        <f t="shared" si="2"/>
        <v>0</v>
      </c>
      <c r="J12" s="3">
        <f t="shared" si="3"/>
        <v>0</v>
      </c>
      <c r="K12" t="e">
        <f t="shared" si="4"/>
        <v>#DIV/0!</v>
      </c>
    </row>
    <row r="13" spans="1:22" x14ac:dyDescent="0.35">
      <c r="C13">
        <v>50</v>
      </c>
      <c r="E13">
        <f t="shared" si="0"/>
        <v>0</v>
      </c>
      <c r="F13">
        <v>50</v>
      </c>
      <c r="H13">
        <f t="shared" si="1"/>
        <v>-50</v>
      </c>
      <c r="I13">
        <f t="shared" si="2"/>
        <v>0</v>
      </c>
      <c r="J13" s="3">
        <f t="shared" si="3"/>
        <v>0</v>
      </c>
      <c r="K13" t="e">
        <f t="shared" si="4"/>
        <v>#DIV/0!</v>
      </c>
    </row>
    <row r="14" spans="1:22" x14ac:dyDescent="0.35">
      <c r="C14">
        <v>50</v>
      </c>
      <c r="E14">
        <f t="shared" si="0"/>
        <v>0</v>
      </c>
      <c r="F14">
        <v>50</v>
      </c>
      <c r="H14">
        <f t="shared" si="1"/>
        <v>-50</v>
      </c>
      <c r="I14">
        <f t="shared" si="2"/>
        <v>0</v>
      </c>
      <c r="J14" s="3">
        <f t="shared" si="3"/>
        <v>0</v>
      </c>
      <c r="K14" t="e">
        <f t="shared" si="4"/>
        <v>#DIV/0!</v>
      </c>
    </row>
    <row r="15" spans="1:22" x14ac:dyDescent="0.35">
      <c r="C15">
        <v>50</v>
      </c>
      <c r="E15">
        <f t="shared" si="0"/>
        <v>0</v>
      </c>
      <c r="F15">
        <v>50</v>
      </c>
      <c r="H15">
        <f t="shared" si="1"/>
        <v>-50</v>
      </c>
      <c r="I15">
        <f t="shared" si="2"/>
        <v>0</v>
      </c>
      <c r="J15" s="3">
        <f t="shared" si="3"/>
        <v>0</v>
      </c>
      <c r="K15" t="e">
        <f t="shared" si="4"/>
        <v>#DIV/0!</v>
      </c>
    </row>
    <row r="16" spans="1:22" x14ac:dyDescent="0.35">
      <c r="C16">
        <v>50</v>
      </c>
      <c r="E16">
        <f t="shared" si="0"/>
        <v>0</v>
      </c>
      <c r="F16">
        <v>50</v>
      </c>
      <c r="H16">
        <f t="shared" si="1"/>
        <v>-50</v>
      </c>
      <c r="I16">
        <f t="shared" si="2"/>
        <v>0</v>
      </c>
      <c r="J16" s="3">
        <f t="shared" si="3"/>
        <v>0</v>
      </c>
      <c r="K16" t="e">
        <f t="shared" si="4"/>
        <v>#DIV/0!</v>
      </c>
    </row>
    <row r="17" spans="3:11" x14ac:dyDescent="0.35">
      <c r="C17">
        <v>50</v>
      </c>
      <c r="E17">
        <f t="shared" si="0"/>
        <v>0</v>
      </c>
      <c r="F17">
        <v>50</v>
      </c>
      <c r="H17">
        <f t="shared" si="1"/>
        <v>-50</v>
      </c>
      <c r="I17">
        <f t="shared" si="2"/>
        <v>0</v>
      </c>
      <c r="J17" s="3">
        <f t="shared" si="3"/>
        <v>0</v>
      </c>
      <c r="K17" t="e">
        <f t="shared" si="4"/>
        <v>#DIV/0!</v>
      </c>
    </row>
    <row r="18" spans="3:11" x14ac:dyDescent="0.35">
      <c r="C18">
        <v>50</v>
      </c>
      <c r="E18">
        <f t="shared" si="0"/>
        <v>0</v>
      </c>
      <c r="F18">
        <v>50</v>
      </c>
      <c r="H18">
        <f t="shared" si="1"/>
        <v>-50</v>
      </c>
      <c r="I18">
        <f t="shared" si="2"/>
        <v>0</v>
      </c>
      <c r="J18" s="3">
        <f t="shared" si="3"/>
        <v>0</v>
      </c>
      <c r="K18" t="e">
        <f t="shared" si="4"/>
        <v>#DIV/0!</v>
      </c>
    </row>
    <row r="19" spans="3:11" x14ac:dyDescent="0.35">
      <c r="C19">
        <v>50</v>
      </c>
      <c r="E19">
        <f t="shared" si="0"/>
        <v>0</v>
      </c>
      <c r="F19">
        <v>50</v>
      </c>
      <c r="H19">
        <f t="shared" si="1"/>
        <v>-50</v>
      </c>
      <c r="I19">
        <f t="shared" si="2"/>
        <v>0</v>
      </c>
      <c r="J19" s="3">
        <f t="shared" si="3"/>
        <v>0</v>
      </c>
      <c r="K19" t="e">
        <f t="shared" si="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6932-AFD2-4F88-9876-424E09304D7D}">
  <dimension ref="A1:L25"/>
  <sheetViews>
    <sheetView topLeftCell="B1" workbookViewId="0">
      <selection activeCell="M13" sqref="M13"/>
    </sheetView>
  </sheetViews>
  <sheetFormatPr defaultColWidth="12.90625" defaultRowHeight="14.5" x14ac:dyDescent="0.35"/>
  <cols>
    <col min="1" max="1" width="18.90625" bestFit="1" customWidth="1"/>
    <col min="2" max="2" width="8.36328125" bestFit="1" customWidth="1"/>
    <col min="3" max="3" width="8" style="2" customWidth="1"/>
    <col min="4" max="4" width="11.26953125" bestFit="1" customWidth="1"/>
    <col min="5" max="5" width="8.54296875" bestFit="1" customWidth="1"/>
    <col min="6" max="6" width="11.08984375" style="2" customWidth="1"/>
    <col min="7" max="7" width="11.26953125" style="2" customWidth="1"/>
    <col min="8" max="9" width="9.54296875" style="2" customWidth="1"/>
    <col min="10" max="10" width="12" style="2" customWidth="1"/>
    <col min="11" max="11" width="10" style="2" bestFit="1" customWidth="1"/>
    <col min="12" max="12" width="12.7265625" style="9" customWidth="1"/>
  </cols>
  <sheetData>
    <row r="1" spans="1:12" s="1" customFormat="1" ht="58" x14ac:dyDescent="0.35">
      <c r="A1" s="1" t="s">
        <v>7</v>
      </c>
      <c r="B1" s="1" t="s">
        <v>8</v>
      </c>
      <c r="C1" s="11" t="s">
        <v>9</v>
      </c>
      <c r="D1" s="1" t="s">
        <v>10</v>
      </c>
      <c r="E1" s="1" t="s">
        <v>3</v>
      </c>
      <c r="F1" s="1" t="s">
        <v>11</v>
      </c>
      <c r="G1" s="1" t="s">
        <v>13</v>
      </c>
      <c r="H1" s="1" t="s">
        <v>25</v>
      </c>
      <c r="I1" s="1" t="s">
        <v>26</v>
      </c>
      <c r="J1" s="1" t="s">
        <v>12</v>
      </c>
      <c r="K1" s="1" t="s">
        <v>14</v>
      </c>
      <c r="L1" s="1" t="s">
        <v>173</v>
      </c>
    </row>
    <row r="2" spans="1:12" x14ac:dyDescent="0.35">
      <c r="A2" t="str">
        <f>Characterization!A2</f>
        <v>Soybean Undisturbed</v>
      </c>
      <c r="B2">
        <v>1</v>
      </c>
      <c r="C2" s="2">
        <v>10.3116</v>
      </c>
      <c r="D2">
        <v>11.3148</v>
      </c>
      <c r="E2">
        <f>D2-C2</f>
        <v>1.0031999999999996</v>
      </c>
      <c r="F2" s="2">
        <v>11.293799999999999</v>
      </c>
      <c r="G2" s="2">
        <f>F2-C2</f>
        <v>0.98219999999999885</v>
      </c>
      <c r="H2" s="2">
        <f>(E2-G2)/E2</f>
        <v>2.0933014354067785E-2</v>
      </c>
      <c r="I2" s="2">
        <f>(E2-G2)/G2</f>
        <v>2.1380574221137059E-2</v>
      </c>
      <c r="J2" s="2">
        <v>11.214700000000001</v>
      </c>
      <c r="K2" s="2">
        <f>J2-C2</f>
        <v>0.90310000000000024</v>
      </c>
      <c r="L2" s="9">
        <f>(G2-K2)/G2</f>
        <v>8.0533496232945131E-2</v>
      </c>
    </row>
    <row r="3" spans="1:12" x14ac:dyDescent="0.35">
      <c r="A3" t="str">
        <f>Characterization!A2</f>
        <v>Soybean Undisturbed</v>
      </c>
      <c r="B3">
        <v>2</v>
      </c>
      <c r="C3" s="2">
        <v>9.8409999999999993</v>
      </c>
      <c r="D3">
        <v>10.911199999999999</v>
      </c>
      <c r="E3">
        <f t="shared" ref="E3:E25" si="0">D3-C3</f>
        <v>1.0701999999999998</v>
      </c>
      <c r="F3" s="2">
        <v>10.889099999999999</v>
      </c>
      <c r="G3" s="2">
        <f t="shared" ref="G3:G25" si="1">F3-C3</f>
        <v>1.0480999999999998</v>
      </c>
      <c r="H3" s="2">
        <f t="shared" ref="H3:H24" si="2">(E3-G3)/E3</f>
        <v>2.0650345729770148E-2</v>
      </c>
      <c r="I3" s="2">
        <f t="shared" ref="I3:I24" si="3">(E3-G3)/G3</f>
        <v>2.1085774258181485E-2</v>
      </c>
      <c r="J3" s="2">
        <v>10.8</v>
      </c>
      <c r="K3" s="2">
        <f t="shared" ref="K3:K25" si="4">J3-C3</f>
        <v>0.95900000000000141</v>
      </c>
      <c r="L3" s="9">
        <f t="shared" ref="L3:L25" si="5">(G3-K3)/G3</f>
        <v>8.5010972235472201E-2</v>
      </c>
    </row>
    <row r="4" spans="1:12" x14ac:dyDescent="0.35">
      <c r="A4" t="str">
        <f>Characterization!A2</f>
        <v>Soybean Undisturbed</v>
      </c>
      <c r="B4">
        <v>3</v>
      </c>
      <c r="C4" s="2">
        <v>10.1114</v>
      </c>
      <c r="D4">
        <v>11.1427</v>
      </c>
      <c r="E4">
        <f t="shared" si="0"/>
        <v>1.0312999999999999</v>
      </c>
      <c r="F4" s="2">
        <v>11.122299999999999</v>
      </c>
      <c r="G4" s="2">
        <f t="shared" si="1"/>
        <v>1.0108999999999995</v>
      </c>
      <c r="H4" s="2">
        <f t="shared" si="2"/>
        <v>1.9780859109861746E-2</v>
      </c>
      <c r="I4" s="2">
        <f t="shared" si="3"/>
        <v>2.0180037590266525E-2</v>
      </c>
      <c r="J4" s="2">
        <v>11.0383</v>
      </c>
      <c r="K4" s="2">
        <f t="shared" si="4"/>
        <v>0.92689999999999984</v>
      </c>
      <c r="L4" s="9">
        <f t="shared" si="5"/>
        <v>8.3094272430507141E-2</v>
      </c>
    </row>
    <row r="5" spans="1:12" x14ac:dyDescent="0.35">
      <c r="A5" t="str">
        <f>Characterization!A3</f>
        <v>Soybean Center</v>
      </c>
      <c r="B5">
        <v>1</v>
      </c>
      <c r="C5" s="2">
        <v>10.9634</v>
      </c>
      <c r="D5">
        <v>11.9625</v>
      </c>
      <c r="E5">
        <f t="shared" si="0"/>
        <v>0.99910000000000032</v>
      </c>
      <c r="F5" s="2">
        <v>11.940899999999999</v>
      </c>
      <c r="G5" s="2">
        <f t="shared" si="1"/>
        <v>0.97749999999999915</v>
      </c>
      <c r="H5" s="2">
        <f t="shared" si="2"/>
        <v>2.1619457511761753E-2</v>
      </c>
      <c r="I5" s="2">
        <f t="shared" si="3"/>
        <v>2.2097186700768483E-2</v>
      </c>
      <c r="J5" s="2">
        <v>11.8825</v>
      </c>
      <c r="K5" s="2">
        <f t="shared" si="4"/>
        <v>0.91910000000000025</v>
      </c>
      <c r="L5" s="9">
        <f t="shared" si="5"/>
        <v>5.9744245524295601E-2</v>
      </c>
    </row>
    <row r="6" spans="1:12" x14ac:dyDescent="0.35">
      <c r="A6" t="str">
        <f>Characterization!A3</f>
        <v>Soybean Center</v>
      </c>
      <c r="B6">
        <v>2</v>
      </c>
      <c r="C6" s="2">
        <v>10.7354</v>
      </c>
      <c r="D6">
        <v>11.7112</v>
      </c>
      <c r="E6">
        <f t="shared" si="0"/>
        <v>0.97579999999999956</v>
      </c>
      <c r="F6" s="2">
        <v>11.691000000000001</v>
      </c>
      <c r="G6" s="2">
        <f t="shared" si="1"/>
        <v>0.95560000000000045</v>
      </c>
      <c r="H6" s="2">
        <f t="shared" si="2"/>
        <v>2.0700963312153226E-2</v>
      </c>
      <c r="I6" s="2">
        <f t="shared" si="3"/>
        <v>2.1138551695269042E-2</v>
      </c>
      <c r="J6" s="2">
        <v>11.634499999999999</v>
      </c>
      <c r="K6" s="2">
        <f t="shared" si="4"/>
        <v>0.8990999999999989</v>
      </c>
      <c r="L6" s="9">
        <f t="shared" si="5"/>
        <v>5.9125156969444877E-2</v>
      </c>
    </row>
    <row r="7" spans="1:12" x14ac:dyDescent="0.35">
      <c r="A7" t="str">
        <f>Characterization!A3</f>
        <v>Soybean Center</v>
      </c>
      <c r="B7">
        <v>3</v>
      </c>
      <c r="C7" s="2">
        <v>10.039199999999999</v>
      </c>
      <c r="D7">
        <v>11.083399999999999</v>
      </c>
      <c r="E7">
        <f t="shared" si="0"/>
        <v>1.0442</v>
      </c>
      <c r="F7" s="2">
        <v>11.0623</v>
      </c>
      <c r="G7" s="2">
        <f t="shared" si="1"/>
        <v>1.0231000000000012</v>
      </c>
      <c r="H7" s="2">
        <f t="shared" si="2"/>
        <v>2.0206856923959765E-2</v>
      </c>
      <c r="I7" s="2">
        <f t="shared" si="3"/>
        <v>2.0623594956503531E-2</v>
      </c>
      <c r="J7" s="2">
        <v>11.003</v>
      </c>
      <c r="K7" s="2">
        <f t="shared" si="4"/>
        <v>0.96380000000000088</v>
      </c>
      <c r="L7" s="9">
        <f t="shared" si="5"/>
        <v>5.796109862183587E-2</v>
      </c>
    </row>
    <row r="8" spans="1:12" x14ac:dyDescent="0.35">
      <c r="A8" t="str">
        <f>Characterization!A4</f>
        <v>FGF Rosemary</v>
      </c>
      <c r="B8">
        <v>1</v>
      </c>
      <c r="C8" s="2">
        <v>10.7117</v>
      </c>
      <c r="D8">
        <v>11.7026</v>
      </c>
      <c r="E8">
        <f t="shared" si="0"/>
        <v>0.99089999999999989</v>
      </c>
      <c r="F8" s="2">
        <v>11.677099999999999</v>
      </c>
      <c r="G8" s="2">
        <f t="shared" si="1"/>
        <v>0.96539999999999893</v>
      </c>
      <c r="H8" s="2">
        <f t="shared" si="2"/>
        <v>2.5734181047533524E-2</v>
      </c>
      <c r="I8" s="2">
        <f t="shared" si="3"/>
        <v>2.6413921690492018E-2</v>
      </c>
      <c r="J8" s="2">
        <v>11.601699999999999</v>
      </c>
      <c r="K8" s="2">
        <f t="shared" si="4"/>
        <v>0.88999999999999879</v>
      </c>
      <c r="L8" s="9">
        <f t="shared" si="5"/>
        <v>7.8102340998550054E-2</v>
      </c>
    </row>
    <row r="9" spans="1:12" x14ac:dyDescent="0.35">
      <c r="A9" t="str">
        <f>Characterization!A4</f>
        <v>FGF Rosemary</v>
      </c>
      <c r="B9">
        <v>2</v>
      </c>
      <c r="C9" s="2">
        <v>10.1225</v>
      </c>
      <c r="D9">
        <v>11.1153</v>
      </c>
      <c r="E9">
        <f t="shared" si="0"/>
        <v>0.99279999999999902</v>
      </c>
      <c r="F9" s="2">
        <v>11.089399999999999</v>
      </c>
      <c r="G9" s="2">
        <f t="shared" si="1"/>
        <v>0.96689999999999898</v>
      </c>
      <c r="H9" s="2">
        <f t="shared" si="2"/>
        <v>2.6087832393231324E-2</v>
      </c>
      <c r="I9" s="2">
        <f t="shared" si="3"/>
        <v>2.678663770813948E-2</v>
      </c>
      <c r="J9" s="2">
        <v>11.014799999999999</v>
      </c>
      <c r="K9" s="2">
        <f t="shared" si="4"/>
        <v>0.89229999999999876</v>
      </c>
      <c r="L9" s="9">
        <f t="shared" si="5"/>
        <v>7.7153790464370986E-2</v>
      </c>
    </row>
    <row r="10" spans="1:12" x14ac:dyDescent="0.35">
      <c r="A10" t="str">
        <f>Characterization!A4</f>
        <v>FGF Rosemary</v>
      </c>
      <c r="B10">
        <v>3</v>
      </c>
      <c r="C10" s="2">
        <v>9.7612000000000005</v>
      </c>
      <c r="D10">
        <v>10.7799</v>
      </c>
      <c r="E10">
        <f t="shared" si="0"/>
        <v>1.0186999999999991</v>
      </c>
      <c r="F10" s="2">
        <v>10.752700000000001</v>
      </c>
      <c r="G10" s="2">
        <f t="shared" si="1"/>
        <v>0.99150000000000027</v>
      </c>
      <c r="H10" s="2">
        <f t="shared" si="2"/>
        <v>2.6700696966721123E-2</v>
      </c>
      <c r="I10" s="2">
        <f t="shared" si="3"/>
        <v>2.7433182047401687E-2</v>
      </c>
      <c r="J10" s="2">
        <v>10.6775</v>
      </c>
      <c r="K10" s="2">
        <f t="shared" si="4"/>
        <v>0.91629999999999967</v>
      </c>
      <c r="L10" s="9">
        <f t="shared" si="5"/>
        <v>7.5844679778114557E-2</v>
      </c>
    </row>
    <row r="11" spans="1:12" x14ac:dyDescent="0.35">
      <c r="A11" t="str">
        <f>Characterization!A5</f>
        <v>FGF Oregano</v>
      </c>
      <c r="B11">
        <v>1</v>
      </c>
      <c r="C11" s="2">
        <v>10.515499999999999</v>
      </c>
      <c r="D11">
        <v>11.541700000000001</v>
      </c>
      <c r="E11">
        <f t="shared" si="0"/>
        <v>1.0262000000000011</v>
      </c>
      <c r="F11" s="2">
        <v>11.5198</v>
      </c>
      <c r="G11" s="2">
        <f t="shared" si="1"/>
        <v>1.0043000000000006</v>
      </c>
      <c r="H11" s="2">
        <f t="shared" si="2"/>
        <v>2.1340869226272121E-2</v>
      </c>
      <c r="I11" s="2">
        <f t="shared" si="3"/>
        <v>2.1806233197252275E-2</v>
      </c>
      <c r="J11" s="2">
        <v>11.4513</v>
      </c>
      <c r="K11" s="2">
        <f t="shared" si="4"/>
        <v>0.93580000000000041</v>
      </c>
      <c r="L11" s="9">
        <f t="shared" si="5"/>
        <v>6.8206711142089205E-2</v>
      </c>
    </row>
    <row r="12" spans="1:12" x14ac:dyDescent="0.35">
      <c r="A12" t="str">
        <f>Characterization!A5</f>
        <v>FGF Oregano</v>
      </c>
      <c r="B12">
        <v>2</v>
      </c>
      <c r="C12" s="2">
        <v>10.589</v>
      </c>
      <c r="D12">
        <v>11.5929</v>
      </c>
      <c r="E12">
        <f t="shared" si="0"/>
        <v>1.0038999999999998</v>
      </c>
      <c r="F12" s="2">
        <v>11.572699999999999</v>
      </c>
      <c r="G12" s="2">
        <f t="shared" si="1"/>
        <v>0.98369999999999891</v>
      </c>
      <c r="H12" s="2">
        <f t="shared" si="2"/>
        <v>2.0121526048412081E-2</v>
      </c>
      <c r="I12" s="2">
        <f t="shared" si="3"/>
        <v>2.0534715868660066E-2</v>
      </c>
      <c r="J12" s="2">
        <v>11.5038</v>
      </c>
      <c r="K12" s="2">
        <f t="shared" si="4"/>
        <v>0.91479999999999961</v>
      </c>
      <c r="L12" s="9">
        <f t="shared" si="5"/>
        <v>7.0041679373792187E-2</v>
      </c>
    </row>
    <row r="13" spans="1:12" x14ac:dyDescent="0.35">
      <c r="A13" t="str">
        <f>Characterization!A5</f>
        <v>FGF Oregano</v>
      </c>
      <c r="B13">
        <v>3</v>
      </c>
      <c r="C13" s="2">
        <v>10.3164</v>
      </c>
      <c r="D13">
        <v>11.3066</v>
      </c>
      <c r="E13">
        <f t="shared" si="0"/>
        <v>0.99019999999999975</v>
      </c>
      <c r="F13" s="2">
        <v>11.284599999999999</v>
      </c>
      <c r="G13" s="2">
        <f t="shared" si="1"/>
        <v>0.96819999999999951</v>
      </c>
      <c r="H13" s="2">
        <f t="shared" si="2"/>
        <v>2.2217733791153552E-2</v>
      </c>
      <c r="I13" s="2">
        <f t="shared" si="3"/>
        <v>2.2722577979756509E-2</v>
      </c>
      <c r="J13" s="2">
        <v>11.2189</v>
      </c>
      <c r="K13" s="2">
        <f t="shared" si="4"/>
        <v>0.90249999999999986</v>
      </c>
      <c r="L13" s="9">
        <f t="shared" si="5"/>
        <v>6.7857880603180834E-2</v>
      </c>
    </row>
    <row r="14" spans="1:12" x14ac:dyDescent="0.35">
      <c r="A14" t="str">
        <f>Characterization!A6</f>
        <v>FGF Buckwheat</v>
      </c>
      <c r="B14">
        <v>1</v>
      </c>
      <c r="C14" s="2">
        <v>9.8460000000000001</v>
      </c>
      <c r="D14">
        <v>10.872</v>
      </c>
      <c r="E14">
        <f t="shared" si="0"/>
        <v>1.0259999999999998</v>
      </c>
      <c r="F14">
        <v>10.849</v>
      </c>
      <c r="G14" s="2">
        <f t="shared" si="1"/>
        <v>1.0030000000000001</v>
      </c>
      <c r="H14" s="2">
        <f t="shared" si="2"/>
        <v>2.2417153996101065E-2</v>
      </c>
      <c r="I14" s="2">
        <f t="shared" si="3"/>
        <v>2.2931206380857112E-2</v>
      </c>
      <c r="J14" s="2">
        <v>10.779400000000001</v>
      </c>
      <c r="K14" s="2">
        <f t="shared" si="4"/>
        <v>0.93340000000000067</v>
      </c>
      <c r="L14" s="9">
        <f t="shared" si="5"/>
        <v>6.9391824526420176E-2</v>
      </c>
    </row>
    <row r="15" spans="1:12" x14ac:dyDescent="0.35">
      <c r="A15" t="str">
        <f>Characterization!A6</f>
        <v>FGF Buckwheat</v>
      </c>
      <c r="B15">
        <v>2</v>
      </c>
      <c r="C15" s="2">
        <v>10.2569</v>
      </c>
      <c r="D15">
        <v>11.285500000000001</v>
      </c>
      <c r="E15">
        <f t="shared" si="0"/>
        <v>1.0286000000000008</v>
      </c>
      <c r="F15" s="2">
        <v>11.260899999999999</v>
      </c>
      <c r="G15" s="2">
        <f t="shared" si="1"/>
        <v>1.0039999999999996</v>
      </c>
      <c r="H15" s="2">
        <f t="shared" si="2"/>
        <v>2.3916002333269751E-2</v>
      </c>
      <c r="I15" s="2">
        <f t="shared" si="3"/>
        <v>2.4501992031873802E-2</v>
      </c>
      <c r="J15" s="2">
        <v>11.1943</v>
      </c>
      <c r="K15" s="2">
        <f t="shared" si="4"/>
        <v>0.93740000000000023</v>
      </c>
      <c r="L15" s="9">
        <f t="shared" si="5"/>
        <v>6.6334661354581034E-2</v>
      </c>
    </row>
    <row r="16" spans="1:12" x14ac:dyDescent="0.35">
      <c r="A16" t="str">
        <f>Characterization!A6</f>
        <v>FGF Buckwheat</v>
      </c>
      <c r="B16">
        <v>3</v>
      </c>
      <c r="C16" s="2">
        <v>10.313800000000001</v>
      </c>
      <c r="D16">
        <v>11.3316</v>
      </c>
      <c r="E16">
        <f t="shared" si="0"/>
        <v>1.0177999999999994</v>
      </c>
      <c r="F16" s="2">
        <v>11.309100000000001</v>
      </c>
      <c r="G16" s="2">
        <f t="shared" si="1"/>
        <v>0.9953000000000003</v>
      </c>
      <c r="H16" s="2">
        <f t="shared" si="2"/>
        <v>2.210650422479769E-2</v>
      </c>
      <c r="I16" s="2">
        <f t="shared" si="3"/>
        <v>2.2606249372047693E-2</v>
      </c>
      <c r="J16" s="2">
        <v>11.2418</v>
      </c>
      <c r="K16" s="2">
        <f t="shared" si="4"/>
        <v>0.92799999999999905</v>
      </c>
      <c r="L16" s="9">
        <f t="shared" si="5"/>
        <v>6.7617803677284469E-2</v>
      </c>
    </row>
    <row r="17" spans="1:12" x14ac:dyDescent="0.35">
      <c r="A17" t="str">
        <f>Characterization!A7</f>
        <v>FGF Sod</v>
      </c>
      <c r="B17">
        <v>1</v>
      </c>
      <c r="C17" s="2">
        <v>10.5273</v>
      </c>
      <c r="D17">
        <v>11.450799999999999</v>
      </c>
      <c r="E17">
        <f t="shared" si="0"/>
        <v>0.92349999999999888</v>
      </c>
      <c r="F17" s="2">
        <v>11.4245</v>
      </c>
      <c r="G17" s="2">
        <f t="shared" si="1"/>
        <v>0.89719999999999978</v>
      </c>
      <c r="H17" s="2">
        <f t="shared" si="2"/>
        <v>2.8478613968596789E-2</v>
      </c>
      <c r="I17" s="2">
        <f t="shared" si="3"/>
        <v>2.9313419527417641E-2</v>
      </c>
      <c r="J17" s="2">
        <v>11.3224</v>
      </c>
      <c r="K17" s="2">
        <f t="shared" si="4"/>
        <v>0.7950999999999997</v>
      </c>
      <c r="L17" s="9">
        <f t="shared" si="5"/>
        <v>0.11379848417298273</v>
      </c>
    </row>
    <row r="18" spans="1:12" x14ac:dyDescent="0.35">
      <c r="A18" t="str">
        <f>Characterization!A7</f>
        <v>FGF Sod</v>
      </c>
      <c r="B18">
        <v>2</v>
      </c>
      <c r="C18" s="2">
        <v>10.195499999999999</v>
      </c>
      <c r="D18">
        <v>11.25</v>
      </c>
      <c r="E18">
        <f t="shared" si="0"/>
        <v>1.0545000000000009</v>
      </c>
      <c r="F18" s="2">
        <v>11.221299999999999</v>
      </c>
      <c r="G18" s="2">
        <f t="shared" si="1"/>
        <v>1.0258000000000003</v>
      </c>
      <c r="H18" s="2">
        <f t="shared" si="2"/>
        <v>2.721669037458567E-2</v>
      </c>
      <c r="I18" s="2">
        <f t="shared" si="3"/>
        <v>2.7978163384675965E-2</v>
      </c>
      <c r="J18" s="2">
        <v>11.1023</v>
      </c>
      <c r="K18" s="2">
        <f t="shared" si="4"/>
        <v>0.90680000000000049</v>
      </c>
      <c r="L18" s="9">
        <f t="shared" si="5"/>
        <v>0.11600701891206838</v>
      </c>
    </row>
    <row r="19" spans="1:12" x14ac:dyDescent="0.35">
      <c r="A19" t="str">
        <f>Characterization!A7</f>
        <v>FGF Sod</v>
      </c>
      <c r="B19">
        <v>3</v>
      </c>
      <c r="C19" s="2">
        <v>10.4476</v>
      </c>
      <c r="D19">
        <v>11.540800000000001</v>
      </c>
      <c r="E19">
        <f t="shared" si="0"/>
        <v>1.0932000000000013</v>
      </c>
      <c r="F19" s="2">
        <v>11.509399999999999</v>
      </c>
      <c r="G19" s="2">
        <f t="shared" si="1"/>
        <v>1.0617999999999999</v>
      </c>
      <c r="H19" s="2">
        <f t="shared" si="2"/>
        <v>2.8723015001830762E-2</v>
      </c>
      <c r="I19" s="2">
        <f t="shared" si="3"/>
        <v>2.9572424185346988E-2</v>
      </c>
      <c r="J19" s="2">
        <v>11.3871</v>
      </c>
      <c r="K19" s="2">
        <f t="shared" si="4"/>
        <v>0.93950000000000067</v>
      </c>
      <c r="L19" s="9">
        <f t="shared" si="5"/>
        <v>0.11518176681107478</v>
      </c>
    </row>
    <row r="20" spans="1:12" x14ac:dyDescent="0.35">
      <c r="A20" t="str">
        <f>Characterization!A8</f>
        <v>FGF Sunflower</v>
      </c>
      <c r="B20">
        <v>1</v>
      </c>
      <c r="C20" s="2">
        <v>10.8154</v>
      </c>
      <c r="D20">
        <v>11.8918</v>
      </c>
      <c r="E20">
        <f t="shared" si="0"/>
        <v>1.0763999999999996</v>
      </c>
      <c r="F20" s="2">
        <v>11.868</v>
      </c>
      <c r="G20" s="2">
        <f t="shared" si="1"/>
        <v>1.0526</v>
      </c>
      <c r="H20" s="2">
        <f t="shared" si="2"/>
        <v>2.2110739502043487E-2</v>
      </c>
      <c r="I20" s="2">
        <f t="shared" si="3"/>
        <v>2.2610678320349232E-2</v>
      </c>
      <c r="J20" s="2">
        <v>11.7933</v>
      </c>
      <c r="K20" s="2">
        <f t="shared" si="4"/>
        <v>0.97789999999999999</v>
      </c>
      <c r="L20" s="9">
        <f t="shared" si="5"/>
        <v>7.0967129013870409E-2</v>
      </c>
    </row>
    <row r="21" spans="1:12" x14ac:dyDescent="0.35">
      <c r="A21" t="str">
        <f>Characterization!A8</f>
        <v>FGF Sunflower</v>
      </c>
      <c r="B21">
        <v>2</v>
      </c>
      <c r="C21" s="2">
        <v>10.759</v>
      </c>
      <c r="D21">
        <v>11.8466</v>
      </c>
      <c r="E21">
        <f t="shared" si="0"/>
        <v>1.0876000000000001</v>
      </c>
      <c r="F21" s="2">
        <v>11.8223</v>
      </c>
      <c r="G21" s="2">
        <f t="shared" si="1"/>
        <v>1.0632999999999999</v>
      </c>
      <c r="H21" s="2">
        <f t="shared" si="2"/>
        <v>2.2342773078337815E-2</v>
      </c>
      <c r="I21" s="2">
        <f t="shared" si="3"/>
        <v>2.2853380983730097E-2</v>
      </c>
      <c r="J21" s="2">
        <v>11.7485</v>
      </c>
      <c r="K21" s="2">
        <f t="shared" si="4"/>
        <v>0.9894999999999996</v>
      </c>
      <c r="L21" s="9">
        <f t="shared" si="5"/>
        <v>6.9406564469105911E-2</v>
      </c>
    </row>
    <row r="22" spans="1:12" x14ac:dyDescent="0.35">
      <c r="A22" t="str">
        <f>Characterization!A8</f>
        <v>FGF Sunflower</v>
      </c>
      <c r="B22">
        <v>3</v>
      </c>
      <c r="C22" s="2">
        <v>10.228899999999999</v>
      </c>
      <c r="D22">
        <v>11.391299999999999</v>
      </c>
      <c r="E22">
        <f t="shared" si="0"/>
        <v>1.1623999999999999</v>
      </c>
      <c r="F22" s="2">
        <v>11.3649</v>
      </c>
      <c r="G22" s="2">
        <f t="shared" si="1"/>
        <v>1.136000000000001</v>
      </c>
      <c r="H22" s="2">
        <f t="shared" si="2"/>
        <v>2.2711631108051335E-2</v>
      </c>
      <c r="I22" s="2">
        <f t="shared" si="3"/>
        <v>2.3239436619717294E-2</v>
      </c>
      <c r="J22" s="2">
        <v>11.2849</v>
      </c>
      <c r="K22" s="2">
        <f t="shared" si="4"/>
        <v>1.0560000000000009</v>
      </c>
      <c r="L22" s="9">
        <f t="shared" si="5"/>
        <v>7.0422535211267609E-2</v>
      </c>
    </row>
    <row r="23" spans="1:12" x14ac:dyDescent="0.35">
      <c r="A23" t="str">
        <f>Characterization!A9</f>
        <v>FGF Corn</v>
      </c>
      <c r="B23">
        <v>1</v>
      </c>
      <c r="C23" s="2">
        <v>10.0923</v>
      </c>
      <c r="D23">
        <v>11.2515</v>
      </c>
      <c r="E23">
        <f t="shared" si="0"/>
        <v>1.1592000000000002</v>
      </c>
      <c r="F23" s="2">
        <v>11.226699999999999</v>
      </c>
      <c r="G23" s="2">
        <f t="shared" si="1"/>
        <v>1.1343999999999994</v>
      </c>
      <c r="H23" s="2">
        <f t="shared" si="2"/>
        <v>2.1394064872326445E-2</v>
      </c>
      <c r="I23" s="2">
        <f t="shared" si="3"/>
        <v>2.186177715091752E-2</v>
      </c>
      <c r="J23" s="2">
        <v>11.150700000000001</v>
      </c>
      <c r="K23" s="2">
        <f t="shared" si="4"/>
        <v>1.0584000000000007</v>
      </c>
      <c r="L23" s="9">
        <f t="shared" si="5"/>
        <v>6.6995768688292295E-2</v>
      </c>
    </row>
    <row r="24" spans="1:12" x14ac:dyDescent="0.35">
      <c r="A24" t="str">
        <f>Characterization!A9</f>
        <v>FGF Corn</v>
      </c>
      <c r="B24">
        <v>2</v>
      </c>
      <c r="C24" s="2">
        <v>10.1577</v>
      </c>
      <c r="D24">
        <v>11.1866</v>
      </c>
      <c r="E24">
        <f t="shared" si="0"/>
        <v>1.0289000000000001</v>
      </c>
      <c r="F24" s="2">
        <v>11.1624</v>
      </c>
      <c r="G24" s="2">
        <f t="shared" si="1"/>
        <v>1.0046999999999997</v>
      </c>
      <c r="H24" s="2">
        <f t="shared" si="2"/>
        <v>2.3520264359996539E-2</v>
      </c>
      <c r="I24" s="2">
        <f t="shared" si="3"/>
        <v>2.4086792077237434E-2</v>
      </c>
      <c r="J24" s="2">
        <v>11.090299999999999</v>
      </c>
      <c r="K24" s="2">
        <f t="shared" si="4"/>
        <v>0.93259999999999899</v>
      </c>
      <c r="L24" s="9">
        <f t="shared" si="5"/>
        <v>7.1762715238380348E-2</v>
      </c>
    </row>
    <row r="25" spans="1:12" x14ac:dyDescent="0.35">
      <c r="A25" t="str">
        <f>Characterization!A9</f>
        <v>FGF Corn</v>
      </c>
      <c r="B25">
        <v>3</v>
      </c>
      <c r="C25" s="2">
        <v>10.3727</v>
      </c>
      <c r="D25">
        <v>11.513999999999999</v>
      </c>
      <c r="E25">
        <f t="shared" si="0"/>
        <v>1.1412999999999993</v>
      </c>
      <c r="F25" s="2">
        <v>11.487</v>
      </c>
      <c r="G25" s="2">
        <f t="shared" si="1"/>
        <v>1.1143000000000001</v>
      </c>
      <c r="H25" s="2">
        <f t="shared" ref="H25" si="6">(E25-G25)/E25</f>
        <v>2.3657232979934516E-2</v>
      </c>
      <c r="I25" s="2">
        <f t="shared" ref="I25" si="7">(E25-G25)/G25</f>
        <v>2.4230458583863631E-2</v>
      </c>
      <c r="J25" s="2">
        <v>11.4116</v>
      </c>
      <c r="K25" s="2">
        <f t="shared" si="4"/>
        <v>1.0388999999999999</v>
      </c>
      <c r="L25" s="9">
        <f t="shared" si="5"/>
        <v>6.7665799156421194E-2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3686-5918-4241-A3F2-49C4CE6E45BD}">
  <dimension ref="A1:O67"/>
  <sheetViews>
    <sheetView zoomScale="94" workbookViewId="0">
      <pane xSplit="1" ySplit="1" topLeftCell="B53" activePane="bottomRight" state="frozen"/>
      <selection pane="topRight" activeCell="B1" sqref="B1"/>
      <selection pane="bottomLeft" activeCell="A2" sqref="A2"/>
      <selection pane="bottomRight" activeCell="F62" sqref="F62"/>
    </sheetView>
  </sheetViews>
  <sheetFormatPr defaultColWidth="6" defaultRowHeight="14.5" x14ac:dyDescent="0.35"/>
  <cols>
    <col min="1" max="1" width="16.453125" bestFit="1" customWidth="1"/>
    <col min="2" max="2" width="18.90625" bestFit="1" customWidth="1"/>
    <col min="3" max="4" width="9.81640625" bestFit="1" customWidth="1"/>
    <col min="5" max="5" width="10.6328125" bestFit="1" customWidth="1"/>
    <col min="6" max="7" width="6.6328125" style="2" bestFit="1" customWidth="1"/>
    <col min="8" max="8" width="7.26953125" style="3" bestFit="1" customWidth="1"/>
    <col min="9" max="10" width="7.7265625" style="2" bestFit="1" customWidth="1"/>
    <col min="11" max="11" width="8.54296875" style="2" bestFit="1" customWidth="1"/>
    <col min="12" max="12" width="8.6328125" style="2" bestFit="1" customWidth="1"/>
    <col min="13" max="13" width="6.1796875" style="7" bestFit="1" customWidth="1"/>
    <col min="14" max="14" width="6.81640625" bestFit="1" customWidth="1"/>
    <col min="15" max="15" width="43.7265625" bestFit="1" customWidth="1"/>
  </cols>
  <sheetData>
    <row r="1" spans="1:15" s="1" customFormat="1" ht="43.5" x14ac:dyDescent="0.35">
      <c r="A1" s="1" t="s">
        <v>110</v>
      </c>
      <c r="B1" s="1" t="s">
        <v>112</v>
      </c>
      <c r="C1" s="1" t="s">
        <v>48</v>
      </c>
      <c r="D1" s="1" t="s">
        <v>49</v>
      </c>
      <c r="E1" s="1" t="s">
        <v>97</v>
      </c>
      <c r="F1" s="1" t="s">
        <v>50</v>
      </c>
      <c r="G1" s="1" t="s">
        <v>60</v>
      </c>
      <c r="H1" s="1" t="s">
        <v>111</v>
      </c>
      <c r="I1" s="1" t="s">
        <v>51</v>
      </c>
      <c r="J1" s="1" t="s">
        <v>52</v>
      </c>
      <c r="K1" s="1" t="s">
        <v>53</v>
      </c>
      <c r="L1" s="1" t="s">
        <v>61</v>
      </c>
      <c r="M1" s="1" t="s">
        <v>62</v>
      </c>
      <c r="N1" s="1" t="s">
        <v>96</v>
      </c>
      <c r="O1" s="1" t="s">
        <v>92</v>
      </c>
    </row>
    <row r="2" spans="1:15" x14ac:dyDescent="0.35">
      <c r="A2" t="s">
        <v>98</v>
      </c>
      <c r="B2" t="str">
        <f>Characterization!$A$2</f>
        <v>Soybean Undisturbed</v>
      </c>
      <c r="C2" s="4">
        <v>46036</v>
      </c>
      <c r="D2" s="4">
        <v>46050</v>
      </c>
      <c r="E2">
        <f>_xlfn.DAYS(D2,C2)</f>
        <v>14</v>
      </c>
      <c r="F2" s="2">
        <f>2.0077-0.0032</f>
        <v>2.0044999999999997</v>
      </c>
      <c r="G2" s="2">
        <v>0.50419999999999998</v>
      </c>
      <c r="H2" s="3">
        <v>-9.85</v>
      </c>
      <c r="I2" s="2">
        <v>10.4305</v>
      </c>
      <c r="J2" s="2">
        <v>10.9299</v>
      </c>
      <c r="K2" s="2">
        <v>10.900499999999999</v>
      </c>
      <c r="L2" s="2">
        <f>(J2-K2)/(K2-I2)</f>
        <v>6.2553191489363474E-2</v>
      </c>
      <c r="M2" s="9">
        <f>INDEX(Characterization!M:M, MATCH('Trial Metadata'!B2, Characterization!A:A, 0))*L2/(INDEX(Characterization!O:O, MATCH('Trial Metadata'!B2, Characterization!A:A, 0))*0.01)</f>
        <v>0.12096824877250754</v>
      </c>
      <c r="N2" s="8">
        <f>INDEX(Characterization!S:S, MATCH('Trial Metadata'!B2, Characterization!A:A, 0))*F2</f>
        <v>9.6356628852166171E-2</v>
      </c>
    </row>
    <row r="3" spans="1:15" x14ac:dyDescent="0.35">
      <c r="A3" t="s">
        <v>99</v>
      </c>
      <c r="B3" t="str">
        <f>Characterization!$A$2</f>
        <v>Soybean Undisturbed</v>
      </c>
      <c r="C3" s="4">
        <v>46036</v>
      </c>
      <c r="D3" s="4">
        <v>46050</v>
      </c>
      <c r="E3">
        <f>_xlfn.DAYS(D3,C3)</f>
        <v>14</v>
      </c>
      <c r="F3" s="2">
        <f>2.0072-0.0041</f>
        <v>2.0030999999999999</v>
      </c>
      <c r="G3" s="2">
        <v>0.51600000000000001</v>
      </c>
      <c r="H3" s="3">
        <v>-5.27</v>
      </c>
      <c r="I3" s="2">
        <v>9.5457999999999998</v>
      </c>
      <c r="J3" s="2">
        <v>10.0479</v>
      </c>
      <c r="K3" s="2">
        <f>I3+10.7337-10.2615</f>
        <v>10.017999999999999</v>
      </c>
      <c r="L3" s="2">
        <f>(J3-K3)/(K3-I3)</f>
        <v>6.33206268530314E-2</v>
      </c>
      <c r="M3" s="9">
        <f>INDEX(Characterization!M:M, MATCH('Trial Metadata'!B3, Characterization!A:A, 0))*L3/(INDEX(Characterization!O:O, MATCH('Trial Metadata'!B3, Characterization!A:A, 0))*0.01)</f>
        <v>0.12245235069886229</v>
      </c>
      <c r="N3" s="8">
        <f>INDEX(Characterization!S:S, MATCH('Trial Metadata'!B3, Characterization!A:A, 0))*F3</f>
        <v>9.6289330632962869E-2</v>
      </c>
    </row>
    <row r="4" spans="1:15" x14ac:dyDescent="0.35">
      <c r="A4" t="s">
        <v>100</v>
      </c>
      <c r="B4" t="str">
        <f>Characterization!$A$2</f>
        <v>Soybean Undisturbed</v>
      </c>
      <c r="C4" s="4">
        <v>46036</v>
      </c>
      <c r="D4" s="4">
        <v>46050</v>
      </c>
      <c r="E4">
        <f t="shared" ref="E4:E62" si="0">_xlfn.DAYS(D4,C4)</f>
        <v>14</v>
      </c>
      <c r="F4" s="2">
        <f>2.008-0.0047</f>
        <v>2.0032999999999999</v>
      </c>
      <c r="G4" s="2">
        <v>0.50560000000000005</v>
      </c>
      <c r="H4" s="3">
        <v>-8.1300000000000008</v>
      </c>
      <c r="I4" s="2">
        <v>10.160600000000001</v>
      </c>
      <c r="J4" s="2">
        <v>10.6753</v>
      </c>
      <c r="K4" s="2">
        <v>10.651300000000001</v>
      </c>
      <c r="L4" s="2">
        <f t="shared" ref="L4:L13" si="1">(J4-K4)/(K4-I4)</f>
        <v>4.8909720807008589E-2</v>
      </c>
      <c r="M4" s="9">
        <f>INDEX(Characterization!M:M, MATCH('Trial Metadata'!B4, Characterization!A:A, 0))*L4/(INDEX(Characterization!O:O, MATCH('Trial Metadata'!B4, Characterization!A:A, 0))*0.01)</f>
        <v>9.4583875468322781E-2</v>
      </c>
      <c r="N4" s="8">
        <f>INDEX(Characterization!S:S, MATCH('Trial Metadata'!B4, Characterization!A:A, 0))*F4</f>
        <v>9.629894466427763E-2</v>
      </c>
    </row>
    <row r="5" spans="1:15" x14ac:dyDescent="0.35">
      <c r="A5" t="s">
        <v>101</v>
      </c>
      <c r="B5" t="str">
        <f>Characterization!$A$2</f>
        <v>Soybean Undisturbed</v>
      </c>
      <c r="C5" s="4">
        <v>46036</v>
      </c>
      <c r="D5" s="4">
        <v>46050</v>
      </c>
      <c r="E5">
        <f t="shared" si="0"/>
        <v>14</v>
      </c>
      <c r="F5" s="2">
        <f>2.004-0.0038</f>
        <v>2.0002</v>
      </c>
      <c r="G5" s="2">
        <v>0.50549999999999995</v>
      </c>
      <c r="H5" s="3">
        <v>-5.27</v>
      </c>
      <c r="I5" s="2">
        <v>10.0318</v>
      </c>
      <c r="J5" s="2">
        <v>10.436999999999999</v>
      </c>
      <c r="K5" s="2">
        <v>10.4145</v>
      </c>
      <c r="L5" s="2">
        <f t="shared" si="1"/>
        <v>5.879278808465923E-2</v>
      </c>
      <c r="M5" s="9">
        <f>INDEX(Characterization!M:M, MATCH('Trial Metadata'!B5, Characterization!A:A, 0))*L5/(INDEX(Characterization!O:O, MATCH('Trial Metadata'!B5, Characterization!A:A, 0))*0.01)</f>
        <v>0.11369620711141026</v>
      </c>
      <c r="N5" s="8">
        <f>INDEX(Characterization!S:S, MATCH('Trial Metadata'!B5, Characterization!A:A, 0))*F5</f>
        <v>9.6149927178898878E-2</v>
      </c>
    </row>
    <row r="6" spans="1:15" x14ac:dyDescent="0.35">
      <c r="A6" t="s">
        <v>102</v>
      </c>
      <c r="B6" t="str">
        <f>Characterization!$A$2</f>
        <v>Soybean Undisturbed</v>
      </c>
      <c r="C6" s="4">
        <v>46036</v>
      </c>
      <c r="D6" s="4">
        <v>46050</v>
      </c>
      <c r="E6">
        <f t="shared" si="0"/>
        <v>14</v>
      </c>
      <c r="F6" s="2">
        <f>2.0073-0.005</f>
        <v>2.0023</v>
      </c>
      <c r="G6" s="2">
        <v>0.50019999999999998</v>
      </c>
      <c r="H6" s="3">
        <v>-1.19</v>
      </c>
      <c r="I6" s="2">
        <f>10.3875</f>
        <v>10.387499999999999</v>
      </c>
      <c r="J6" s="2">
        <v>10.8912</v>
      </c>
      <c r="K6" s="2">
        <v>10.8536</v>
      </c>
      <c r="L6" s="2">
        <f>(J6-K6)/(K6-I6)</f>
        <v>8.0669384252304965E-2</v>
      </c>
      <c r="M6" s="9">
        <f>INDEX(Characterization!M:M, MATCH('Trial Metadata'!B6, Characterization!A:A, 0))*L6/(INDEX(Characterization!O:O, MATCH('Trial Metadata'!B6, Characterization!A:A, 0))*0.01)</f>
        <v>0.15600217846945749</v>
      </c>
      <c r="N6" s="8">
        <f>INDEX(Characterization!S:S, MATCH('Trial Metadata'!B6, Characterization!A:A, 0))*F6</f>
        <v>9.6250874507703837E-2</v>
      </c>
    </row>
    <row r="7" spans="1:15" x14ac:dyDescent="0.35">
      <c r="A7" t="s">
        <v>103</v>
      </c>
      <c r="B7" t="str">
        <f>Characterization!$A$2</f>
        <v>Soybean Undisturbed</v>
      </c>
      <c r="C7" s="4">
        <v>46036</v>
      </c>
      <c r="D7" s="4">
        <v>46050</v>
      </c>
      <c r="E7">
        <f t="shared" si="0"/>
        <v>14</v>
      </c>
      <c r="F7" s="2">
        <f>2.0074-0.0049</f>
        <v>2.0024999999999999</v>
      </c>
      <c r="G7" s="2">
        <v>0.50470000000000004</v>
      </c>
      <c r="H7" s="3">
        <v>-1.89</v>
      </c>
      <c r="I7" s="2">
        <v>10.321999999999999</v>
      </c>
      <c r="J7" s="2">
        <v>10.766</v>
      </c>
      <c r="K7" s="2">
        <v>10.7325</v>
      </c>
      <c r="L7" s="2">
        <f t="shared" si="1"/>
        <v>8.1607795371498232E-2</v>
      </c>
      <c r="M7" s="9">
        <f>INDEX(Characterization!M:M, MATCH('Trial Metadata'!B7, Characterization!A:A, 0))*L7/(INDEX(Characterization!O:O, MATCH('Trial Metadata'!B7, Characterization!A:A, 0))*0.01)</f>
        <v>0.15781692120303584</v>
      </c>
      <c r="N7" s="8">
        <f>INDEX(Characterization!S:S, MATCH('Trial Metadata'!B7, Characterization!A:A, 0))*F7</f>
        <v>9.6260488539018599E-2</v>
      </c>
    </row>
    <row r="8" spans="1:15" x14ac:dyDescent="0.35">
      <c r="A8" t="s">
        <v>104</v>
      </c>
      <c r="B8" t="str">
        <f>Characterization!$A$3</f>
        <v>Soybean Center</v>
      </c>
      <c r="C8" s="4">
        <v>46049</v>
      </c>
      <c r="D8" s="4">
        <v>46065</v>
      </c>
      <c r="E8">
        <f t="shared" si="0"/>
        <v>16</v>
      </c>
      <c r="F8" s="2">
        <f>2.0044-0.0043</f>
        <v>2.0000999999999998</v>
      </c>
      <c r="G8" s="2">
        <v>0.48680000000000001</v>
      </c>
      <c r="H8" s="10">
        <v>-122.78</v>
      </c>
      <c r="I8" s="2">
        <v>10.2818</v>
      </c>
      <c r="J8" s="2">
        <v>10.831799999999999</v>
      </c>
      <c r="K8" s="2">
        <v>10.809100000000001</v>
      </c>
      <c r="L8" s="2">
        <f t="shared" si="1"/>
        <v>4.3049497439784937E-2</v>
      </c>
      <c r="M8" s="9">
        <f>INDEX(Characterization!M:M, MATCH('Trial Metadata'!B8, Characterization!A:A, 0))*L8/(INDEX(Characterization!O:O, MATCH('Trial Metadata'!B8, Characterization!A:A, 0))*0.01)</f>
        <v>0.10107663253049501</v>
      </c>
      <c r="N8" s="8">
        <f>INDEX(Characterization!S:S, MATCH('Trial Metadata'!B8, Characterization!A:A, 0))*F8</f>
        <v>6.8377879154377749E-2</v>
      </c>
      <c r="O8" t="s">
        <v>130</v>
      </c>
    </row>
    <row r="9" spans="1:15" x14ac:dyDescent="0.35">
      <c r="A9" t="s">
        <v>105</v>
      </c>
      <c r="B9" t="str">
        <f>Characterization!$A$3</f>
        <v>Soybean Center</v>
      </c>
      <c r="C9" s="4">
        <v>46049</v>
      </c>
      <c r="D9" s="4">
        <v>46065</v>
      </c>
      <c r="E9">
        <f t="shared" si="0"/>
        <v>16</v>
      </c>
      <c r="F9" s="2">
        <f>2.0053-0.0049</f>
        <v>2.0004</v>
      </c>
      <c r="G9" s="2">
        <v>0.50370000000000004</v>
      </c>
      <c r="H9" s="10">
        <v>-34.76</v>
      </c>
      <c r="I9" s="2">
        <v>10.461</v>
      </c>
      <c r="J9" s="2">
        <v>11.0146</v>
      </c>
      <c r="K9" s="2">
        <v>10.9834</v>
      </c>
      <c r="L9" s="2">
        <f t="shared" si="1"/>
        <v>5.9724349157733843E-2</v>
      </c>
      <c r="M9" s="9">
        <f>INDEX(Characterization!M:M, MATCH('Trial Metadata'!B9, Characterization!A:A, 0))*L9/(INDEX(Characterization!O:O, MATCH('Trial Metadata'!B9, Characterization!A:A, 0))*0.01)</f>
        <v>0.1402277947932625</v>
      </c>
      <c r="N9" s="8">
        <f>INDEX(Characterization!S:S, MATCH('Trial Metadata'!B9, Characterization!A:A, 0))*F9</f>
        <v>6.8388135323442456E-2</v>
      </c>
    </row>
    <row r="10" spans="1:15" x14ac:dyDescent="0.35">
      <c r="A10" t="s">
        <v>106</v>
      </c>
      <c r="B10" t="str">
        <f>Characterization!$A$3</f>
        <v>Soybean Center</v>
      </c>
      <c r="C10" s="4">
        <v>46049</v>
      </c>
      <c r="D10" s="4">
        <v>46065</v>
      </c>
      <c r="E10">
        <f t="shared" si="0"/>
        <v>16</v>
      </c>
      <c r="F10" s="2">
        <f>2.0046-0.0046</f>
        <v>2</v>
      </c>
      <c r="G10" s="2">
        <v>0.49830000000000002</v>
      </c>
      <c r="H10" s="10">
        <v>-59.35</v>
      </c>
      <c r="I10" s="2">
        <v>10.084199999999999</v>
      </c>
      <c r="J10" s="2">
        <v>10.578900000000001</v>
      </c>
      <c r="K10" s="2">
        <v>10.5703</v>
      </c>
      <c r="L10" s="2">
        <f>(J10-K10)/(K10-I10)</f>
        <v>1.7691832956184459E-2</v>
      </c>
      <c r="M10" s="9">
        <f>INDEX(Characterization!M:M, MATCH('Trial Metadata'!B10, Characterization!A:A, 0))*L10/(INDEX(Characterization!O:O, MATCH('Trial Metadata'!B10, Characterization!A:A, 0))*0.01)</f>
        <v>4.1538949461708073E-2</v>
      </c>
      <c r="N10" s="8">
        <f>INDEX(Characterization!S:S, MATCH('Trial Metadata'!B10, Characterization!A:A, 0))*F10</f>
        <v>6.8374460431356185E-2</v>
      </c>
      <c r="O10" t="s">
        <v>129</v>
      </c>
    </row>
    <row r="11" spans="1:15" x14ac:dyDescent="0.35">
      <c r="A11" t="s">
        <v>107</v>
      </c>
      <c r="B11" t="str">
        <f>Characterization!$A$3</f>
        <v>Soybean Center</v>
      </c>
      <c r="C11" s="4">
        <v>46049</v>
      </c>
      <c r="D11" s="4">
        <v>46065</v>
      </c>
      <c r="E11">
        <f t="shared" si="0"/>
        <v>16</v>
      </c>
      <c r="F11" s="2">
        <f>2.0031-0.0014</f>
        <v>2.0017</v>
      </c>
      <c r="G11" s="2">
        <v>0.50070000000000003</v>
      </c>
      <c r="H11" s="10">
        <v>-68.349999999999994</v>
      </c>
      <c r="I11" s="2">
        <v>10.7195</v>
      </c>
      <c r="J11" s="2">
        <v>11.236000000000001</v>
      </c>
      <c r="K11" s="2">
        <v>11.225899999999999</v>
      </c>
      <c r="L11" s="2">
        <f>(J11-K11)/(K11-I11)</f>
        <v>1.9944707740918926E-2</v>
      </c>
      <c r="M11" s="9">
        <f>INDEX(Characterization!M:M, MATCH('Trial Metadata'!B11, Characterization!A:A, 0))*L11/(INDEX(Characterization!O:O, MATCH('Trial Metadata'!B11, Characterization!A:A, 0))*0.01)</f>
        <v>4.6828511716699203E-2</v>
      </c>
      <c r="N11" s="8">
        <f>INDEX(Characterization!S:S, MATCH('Trial Metadata'!B11, Characterization!A:A, 0))*F11</f>
        <v>6.8432578722722834E-2</v>
      </c>
      <c r="O11" t="s">
        <v>129</v>
      </c>
    </row>
    <row r="12" spans="1:15" x14ac:dyDescent="0.35">
      <c r="A12" t="s">
        <v>108</v>
      </c>
      <c r="B12" t="str">
        <f>Characterization!$A$3</f>
        <v>Soybean Center</v>
      </c>
      <c r="C12" s="4">
        <v>46049</v>
      </c>
      <c r="D12" s="4">
        <v>46065</v>
      </c>
      <c r="E12">
        <f t="shared" si="0"/>
        <v>16</v>
      </c>
      <c r="F12" s="2">
        <f>2.008-0.002</f>
        <v>2.0060000000000002</v>
      </c>
      <c r="G12" s="2">
        <v>0.48420000000000002</v>
      </c>
      <c r="H12" s="10">
        <v>-47.12</v>
      </c>
      <c r="I12" s="2">
        <v>9.8863000000000003</v>
      </c>
      <c r="J12" s="2">
        <v>10.4278</v>
      </c>
      <c r="K12" s="2">
        <v>10.4108</v>
      </c>
      <c r="L12" s="2">
        <f t="shared" si="1"/>
        <v>3.2411820781695841E-2</v>
      </c>
      <c r="M12" s="9">
        <f>INDEX(Characterization!M:M, MATCH('Trial Metadata'!B12, Characterization!A:A, 0))*L12/(INDEX(Characterization!O:O, MATCH('Trial Metadata'!B12, Characterization!A:A, 0))*0.01)</f>
        <v>7.6100254210356655E-2</v>
      </c>
      <c r="N12" s="8">
        <f>INDEX(Characterization!S:S, MATCH('Trial Metadata'!B12, Characterization!A:A, 0))*F12</f>
        <v>6.8579583812650266E-2</v>
      </c>
    </row>
    <row r="13" spans="1:15" x14ac:dyDescent="0.35">
      <c r="A13" t="s">
        <v>109</v>
      </c>
      <c r="B13" t="str">
        <f>Characterization!$A$3</f>
        <v>Soybean Center</v>
      </c>
      <c r="C13" s="4">
        <v>46049</v>
      </c>
      <c r="D13" s="4">
        <v>46065</v>
      </c>
      <c r="E13">
        <f t="shared" si="0"/>
        <v>16</v>
      </c>
      <c r="F13" s="2">
        <f>2.0041-0.0035</f>
        <v>2.0006000000000004</v>
      </c>
      <c r="G13" s="2">
        <v>0.50729999999999997</v>
      </c>
      <c r="H13" s="10">
        <v>-114.39</v>
      </c>
      <c r="I13" s="2">
        <v>10.1607</v>
      </c>
      <c r="J13" s="2">
        <v>10.6844</v>
      </c>
      <c r="K13" s="2">
        <v>10.6685</v>
      </c>
      <c r="L13" s="2">
        <f t="shared" si="1"/>
        <v>3.1311539976369158E-2</v>
      </c>
      <c r="M13" s="9">
        <f>INDEX(Characterization!M:M, MATCH('Trial Metadata'!B13, Characterization!A:A, 0))*L13/(INDEX(Characterization!O:O, MATCH('Trial Metadata'!B13, Characterization!A:A, 0))*0.01)</f>
        <v>7.3516886569516715E-2</v>
      </c>
      <c r="N13" s="8">
        <f>INDEX(Characterization!S:S, MATCH('Trial Metadata'!B13, Characterization!A:A, 0))*F13</f>
        <v>6.8394972769485599E-2</v>
      </c>
    </row>
    <row r="14" spans="1:15" x14ac:dyDescent="0.35">
      <c r="A14" t="s">
        <v>117</v>
      </c>
      <c r="B14" t="str">
        <f>Characterization!$A$2</f>
        <v>Soybean Undisturbed</v>
      </c>
      <c r="C14" s="4">
        <v>46086</v>
      </c>
      <c r="D14" s="4">
        <v>46090</v>
      </c>
      <c r="E14">
        <f t="shared" si="0"/>
        <v>4</v>
      </c>
      <c r="F14" s="2">
        <f>2.0065-0.0019</f>
        <v>2.0045999999999999</v>
      </c>
      <c r="G14" s="2">
        <v>0.49869999999999998</v>
      </c>
      <c r="H14" s="3">
        <v>-9.0299999999999994</v>
      </c>
      <c r="I14" s="2">
        <v>10.1005</v>
      </c>
      <c r="J14" s="2">
        <v>10.686400000000001</v>
      </c>
      <c r="K14" s="2">
        <v>10.661300000000001</v>
      </c>
      <c r="L14" s="2">
        <f t="shared" ref="L14:L43" si="2">(J14-K14)/(K14-I14)</f>
        <v>4.4757489300998758E-2</v>
      </c>
      <c r="M14" s="9">
        <f>INDEX(Characterization!M:M, MATCH('Trial Metadata'!B14, Characterization!A:A, 0))*L14/(INDEX(Characterization!O:O, MATCH('Trial Metadata'!B14, Characterization!A:A, 0))*0.01)</f>
        <v>8.6554098540546853E-2</v>
      </c>
      <c r="N14" s="8">
        <f>INDEX(Characterization!S:S, MATCH('Trial Metadata'!B14, Characterization!A:A, 0))*F14</f>
        <v>9.6361435867823558E-2</v>
      </c>
      <c r="O14" t="s">
        <v>133</v>
      </c>
    </row>
    <row r="15" spans="1:15" x14ac:dyDescent="0.35">
      <c r="A15" t="s">
        <v>118</v>
      </c>
      <c r="B15" t="str">
        <f>Characterization!$A$2</f>
        <v>Soybean Undisturbed</v>
      </c>
      <c r="C15" s="4">
        <v>46086</v>
      </c>
      <c r="D15" s="4">
        <v>46090</v>
      </c>
      <c r="E15">
        <f t="shared" si="0"/>
        <v>4</v>
      </c>
      <c r="F15" s="2">
        <f>2.0086-0.0016</f>
        <v>2.0070000000000001</v>
      </c>
      <c r="G15" s="2">
        <v>0.48170000000000002</v>
      </c>
      <c r="H15" s="3">
        <v>-5.18</v>
      </c>
      <c r="I15" s="2">
        <v>10.0471</v>
      </c>
      <c r="J15" s="2">
        <v>10.598800000000001</v>
      </c>
      <c r="K15" s="2">
        <v>10.570499999999999</v>
      </c>
      <c r="L15" s="2">
        <f t="shared" si="2"/>
        <v>5.4069545280859027E-2</v>
      </c>
      <c r="M15" s="9">
        <f>INDEX(Characterization!M:M, MATCH('Trial Metadata'!B15, Characterization!A:A, 0))*L15/(INDEX(Characterization!O:O, MATCH('Trial Metadata'!B15, Characterization!A:A, 0))*0.01)</f>
        <v>0.10456218218159971</v>
      </c>
      <c r="N15" s="8">
        <f>INDEX(Characterization!S:S, MATCH('Trial Metadata'!B15, Characterization!A:A, 0))*F15</f>
        <v>9.6476804243600667E-2</v>
      </c>
    </row>
    <row r="16" spans="1:15" x14ac:dyDescent="0.35">
      <c r="A16" t="s">
        <v>119</v>
      </c>
      <c r="B16" t="str">
        <f>Characterization!$A$2</f>
        <v>Soybean Undisturbed</v>
      </c>
      <c r="C16" s="4">
        <v>46086</v>
      </c>
      <c r="D16" s="4">
        <v>46090</v>
      </c>
      <c r="E16">
        <f t="shared" si="0"/>
        <v>4</v>
      </c>
      <c r="F16" s="2">
        <f>2.0077-0.0016</f>
        <v>2.0061</v>
      </c>
      <c r="G16" s="2">
        <v>0.4708</v>
      </c>
      <c r="H16" s="3">
        <v>-5.78</v>
      </c>
      <c r="I16" s="2">
        <v>10.278499999999999</v>
      </c>
      <c r="J16" s="2">
        <v>10.823700000000001</v>
      </c>
      <c r="K16" s="2">
        <v>10.7981</v>
      </c>
      <c r="L16" s="2">
        <f t="shared" si="2"/>
        <v>4.9268668206313912E-2</v>
      </c>
      <c r="M16" s="9">
        <f>INDEX(Characterization!M:M, MATCH('Trial Metadata'!B16, Characterization!A:A, 0))*L16/(INDEX(Characterization!O:O, MATCH('Trial Metadata'!B16, Characterization!A:A, 0))*0.01)</f>
        <v>9.5278024515902462E-2</v>
      </c>
      <c r="N16" s="8">
        <f>INDEX(Characterization!S:S, MATCH('Trial Metadata'!B16, Characterization!A:A, 0))*F16</f>
        <v>9.6433541102684248E-2</v>
      </c>
    </row>
    <row r="17" spans="1:15" x14ac:dyDescent="0.35">
      <c r="A17" t="s">
        <v>120</v>
      </c>
      <c r="B17" t="str">
        <f>Characterization!$A$2</f>
        <v>Soybean Undisturbed</v>
      </c>
      <c r="C17" s="4">
        <v>46086</v>
      </c>
      <c r="D17" s="4">
        <v>46090</v>
      </c>
      <c r="E17">
        <f t="shared" si="0"/>
        <v>4</v>
      </c>
      <c r="F17" s="2">
        <f>2.003-0.0015</f>
        <v>2.0015000000000001</v>
      </c>
      <c r="G17" s="2">
        <v>0.50519999999999998</v>
      </c>
      <c r="H17" s="3">
        <v>-1.1599999999999999</v>
      </c>
      <c r="I17" s="2">
        <v>10.3347</v>
      </c>
      <c r="J17" s="2">
        <v>10.928100000000001</v>
      </c>
      <c r="K17" s="2">
        <v>10.8734</v>
      </c>
      <c r="L17" s="2">
        <f t="shared" si="2"/>
        <v>0.10154074624095114</v>
      </c>
      <c r="M17" s="9">
        <f>INDEX(Characterization!M:M, MATCH('Trial Metadata'!B17, Characterization!A:A, 0))*L17/(INDEX(Characterization!O:O, MATCH('Trial Metadata'!B17, Characterization!A:A, 0))*0.01)</f>
        <v>0.19636418157673172</v>
      </c>
      <c r="N17" s="8">
        <f>INDEX(Characterization!S:S, MATCH('Trial Metadata'!B17, Characterization!A:A, 0))*F17</f>
        <v>9.6212418382444806E-2</v>
      </c>
    </row>
    <row r="18" spans="1:15" x14ac:dyDescent="0.35">
      <c r="A18" t="s">
        <v>121</v>
      </c>
      <c r="B18" t="str">
        <f>Characterization!$A$2</f>
        <v>Soybean Undisturbed</v>
      </c>
      <c r="C18" s="4">
        <v>46086</v>
      </c>
      <c r="D18" s="4">
        <v>46090</v>
      </c>
      <c r="E18">
        <f t="shared" si="0"/>
        <v>4</v>
      </c>
      <c r="F18" s="2">
        <f>2.0087-0.0028</f>
        <v>2.0059</v>
      </c>
      <c r="G18" s="2">
        <v>0.50270000000000004</v>
      </c>
      <c r="H18" s="3">
        <v>-1.48</v>
      </c>
      <c r="I18" s="2">
        <v>10.822699999999999</v>
      </c>
      <c r="J18" s="2">
        <v>11.4642</v>
      </c>
      <c r="K18" s="2">
        <v>11.4079</v>
      </c>
      <c r="L18" s="2">
        <f t="shared" si="2"/>
        <v>9.620642515379392E-2</v>
      </c>
      <c r="M18" s="9">
        <f>INDEX(Characterization!M:M, MATCH('Trial Metadata'!B18, Characterization!A:A, 0))*L18/(INDEX(Characterization!O:O, MATCH('Trial Metadata'!B18, Characterization!A:A, 0))*0.01)</f>
        <v>0.18604842525895229</v>
      </c>
      <c r="N18" s="8">
        <f>INDEX(Characterization!S:S, MATCH('Trial Metadata'!B18, Characterization!A:A, 0))*F18</f>
        <v>9.6423927071369486E-2</v>
      </c>
    </row>
    <row r="19" spans="1:15" x14ac:dyDescent="0.35">
      <c r="A19" t="s">
        <v>122</v>
      </c>
      <c r="B19" t="str">
        <f>Characterization!$A$2</f>
        <v>Soybean Undisturbed</v>
      </c>
      <c r="C19" s="4">
        <v>46086</v>
      </c>
      <c r="D19" s="4">
        <v>46090</v>
      </c>
      <c r="E19">
        <f t="shared" si="0"/>
        <v>4</v>
      </c>
      <c r="F19" s="2">
        <f>2.0026-0.001</f>
        <v>2.0016000000000003</v>
      </c>
      <c r="G19" s="2">
        <v>0.50929999999999997</v>
      </c>
      <c r="H19" s="3">
        <v>-1.66</v>
      </c>
      <c r="I19" s="2">
        <v>10.010999999999999</v>
      </c>
      <c r="J19" s="2">
        <v>10.5215</v>
      </c>
      <c r="K19" s="2">
        <v>10.485799999999999</v>
      </c>
      <c r="L19" s="2">
        <f t="shared" si="2"/>
        <v>7.518955349620951E-2</v>
      </c>
      <c r="M19" s="9">
        <f>INDEX(Characterization!M:M, MATCH('Trial Metadata'!B19, Characterization!A:A, 0))*L19/(INDEX(Characterization!O:O, MATCH('Trial Metadata'!B19, Characterization!A:A, 0))*0.01)</f>
        <v>0.14540502883805442</v>
      </c>
      <c r="N19" s="8">
        <f>INDEX(Characterization!S:S, MATCH('Trial Metadata'!B19, Characterization!A:A, 0))*F19</f>
        <v>9.6217225398102194E-2</v>
      </c>
      <c r="O19" t="s">
        <v>132</v>
      </c>
    </row>
    <row r="20" spans="1:15" x14ac:dyDescent="0.35">
      <c r="A20" t="s">
        <v>123</v>
      </c>
      <c r="B20" t="str">
        <f>Characterization!$A$3</f>
        <v>Soybean Center</v>
      </c>
      <c r="C20" s="4">
        <v>46087</v>
      </c>
      <c r="D20" s="4">
        <v>46091</v>
      </c>
      <c r="E20">
        <f t="shared" si="0"/>
        <v>4</v>
      </c>
      <c r="F20" s="2">
        <f>2.0038-0.0014</f>
        <v>2.0024000000000002</v>
      </c>
      <c r="G20" s="2">
        <v>0.496</v>
      </c>
      <c r="H20" s="3">
        <v>-5.72</v>
      </c>
      <c r="I20" s="2">
        <v>10.6744</v>
      </c>
      <c r="J20" s="2">
        <v>11.2348</v>
      </c>
      <c r="K20" s="2">
        <v>11.2096</v>
      </c>
      <c r="L20" s="2">
        <f t="shared" si="2"/>
        <v>4.7085201793721797E-2</v>
      </c>
      <c r="M20" s="9">
        <f>INDEX(Characterization!M:M, MATCH('Trial Metadata'!B20, Characterization!A:A, 0))*L20/(INDEX(Characterization!O:O, MATCH('Trial Metadata'!B20, Characterization!A:A, 0))*0.01)</f>
        <v>0.11055213004484259</v>
      </c>
      <c r="N20" s="8">
        <f>INDEX(Characterization!S:S, MATCH('Trial Metadata'!B20, Characterization!A:A, 0))*F20</f>
        <v>6.8456509783873812E-2</v>
      </c>
    </row>
    <row r="21" spans="1:15" x14ac:dyDescent="0.35">
      <c r="A21" t="s">
        <v>124</v>
      </c>
      <c r="B21" t="str">
        <f>Characterization!$A$3</f>
        <v>Soybean Center</v>
      </c>
      <c r="C21" s="4">
        <v>46087</v>
      </c>
      <c r="D21" s="4">
        <v>46091</v>
      </c>
      <c r="E21">
        <f t="shared" si="0"/>
        <v>4</v>
      </c>
      <c r="F21" s="2">
        <f>2.0057-0.0015</f>
        <v>2.0042</v>
      </c>
      <c r="G21" s="2">
        <v>0.49769999999999998</v>
      </c>
      <c r="H21" s="3">
        <v>-6.49</v>
      </c>
      <c r="I21" s="2">
        <v>10.7262</v>
      </c>
      <c r="J21" s="2">
        <v>11.282</v>
      </c>
      <c r="K21" s="2">
        <v>11.259399999999999</v>
      </c>
      <c r="L21" s="2">
        <f t="shared" si="2"/>
        <v>4.2385596399101014E-2</v>
      </c>
      <c r="M21" s="9">
        <f>INDEX(Characterization!M:M, MATCH('Trial Metadata'!B21, Characterization!A:A, 0))*L21/(INDEX(Characterization!O:O, MATCH('Trial Metadata'!B21, Characterization!A:A, 0))*0.01)</f>
        <v>9.9517848212055879E-2</v>
      </c>
      <c r="N21" s="8">
        <f>INDEX(Characterization!S:S, MATCH('Trial Metadata'!B21, Characterization!A:A, 0))*F21</f>
        <v>6.8518046798262039E-2</v>
      </c>
    </row>
    <row r="22" spans="1:15" x14ac:dyDescent="0.35">
      <c r="A22" t="s">
        <v>125</v>
      </c>
      <c r="B22" t="str">
        <f>Characterization!$A$3</f>
        <v>Soybean Center</v>
      </c>
      <c r="C22" s="4">
        <v>46087</v>
      </c>
      <c r="D22" s="4">
        <v>46091</v>
      </c>
      <c r="E22">
        <f t="shared" si="0"/>
        <v>4</v>
      </c>
      <c r="F22" s="2">
        <f>2.0055-0.0019</f>
        <v>2.0036</v>
      </c>
      <c r="G22" s="2">
        <v>0.48559999999999998</v>
      </c>
      <c r="H22" s="3">
        <v>-11.78</v>
      </c>
      <c r="I22" s="2">
        <v>10.357699999999999</v>
      </c>
      <c r="J22" s="2">
        <v>10.9011</v>
      </c>
      <c r="K22" s="2">
        <v>10.8789</v>
      </c>
      <c r="L22" s="2">
        <f t="shared" si="2"/>
        <v>4.2594013814274294E-2</v>
      </c>
      <c r="M22" s="9">
        <f>INDEX(Characterization!M:M, MATCH('Trial Metadata'!B22, Characterization!A:A, 0))*L22/(INDEX(Characterization!O:O, MATCH('Trial Metadata'!B22, Characterization!A:A, 0))*0.01)</f>
        <v>0.10000719493476481</v>
      </c>
      <c r="N22" s="8">
        <f>INDEX(Characterization!S:S, MATCH('Trial Metadata'!B22, Characterization!A:A, 0))*F22</f>
        <v>6.8497534460132625E-2</v>
      </c>
    </row>
    <row r="23" spans="1:15" x14ac:dyDescent="0.35">
      <c r="A23" t="s">
        <v>126</v>
      </c>
      <c r="B23" t="str">
        <f>Characterization!$A$3</f>
        <v>Soybean Center</v>
      </c>
      <c r="C23" s="4">
        <v>46087</v>
      </c>
      <c r="D23" s="4">
        <v>46091</v>
      </c>
      <c r="E23">
        <f t="shared" si="0"/>
        <v>4</v>
      </c>
      <c r="F23" s="2">
        <f>2.008-0.0022</f>
        <v>2.0057999999999998</v>
      </c>
      <c r="G23" s="2">
        <v>0.49070000000000003</v>
      </c>
      <c r="H23" s="3">
        <v>-0.83</v>
      </c>
      <c r="I23" s="2">
        <v>10.2479</v>
      </c>
      <c r="J23" s="2">
        <v>10.811500000000001</v>
      </c>
      <c r="K23" s="2">
        <v>10.750999999999999</v>
      </c>
      <c r="L23" s="2">
        <f t="shared" si="2"/>
        <v>0.12025442258000621</v>
      </c>
      <c r="M23" s="9">
        <f>INDEX(Characterization!M:M, MATCH('Trial Metadata'!B23, Characterization!A:A, 0))*L23/(INDEX(Characterization!O:O, MATCH('Trial Metadata'!B23, Characterization!A:A, 0))*0.01)</f>
        <v>0.28234736301597274</v>
      </c>
      <c r="N23" s="8">
        <f>INDEX(Characterization!S:S, MATCH('Trial Metadata'!B23, Characterization!A:A, 0))*F23</f>
        <v>6.857274636660711E-2</v>
      </c>
    </row>
    <row r="24" spans="1:15" x14ac:dyDescent="0.35">
      <c r="A24" t="s">
        <v>127</v>
      </c>
      <c r="B24" t="str">
        <f>Characterization!$A$3</f>
        <v>Soybean Center</v>
      </c>
      <c r="C24" s="4">
        <v>46087</v>
      </c>
      <c r="D24" s="4">
        <v>46091</v>
      </c>
      <c r="E24">
        <f t="shared" si="0"/>
        <v>4</v>
      </c>
      <c r="F24" s="2">
        <f>2.0092-0.0022</f>
        <v>2.0069999999999997</v>
      </c>
      <c r="G24" s="2">
        <v>0.50360000000000005</v>
      </c>
      <c r="H24" s="3">
        <v>-1.36</v>
      </c>
      <c r="I24" s="2">
        <v>10.2066</v>
      </c>
      <c r="J24" s="2">
        <v>10.7446</v>
      </c>
      <c r="K24" s="2">
        <v>10.701599999999999</v>
      </c>
      <c r="L24" s="2">
        <f t="shared" si="2"/>
        <v>8.6868686868689107E-2</v>
      </c>
      <c r="M24" s="9">
        <f>INDEX(Characterization!M:M, MATCH('Trial Metadata'!B24, Characterization!A:A, 0))*L24/(INDEX(Characterization!O:O, MATCH('Trial Metadata'!B24, Characterization!A:A, 0))*0.01)</f>
        <v>0.20396043771044287</v>
      </c>
      <c r="N24" s="8">
        <f>INDEX(Characterization!S:S, MATCH('Trial Metadata'!B24, Characterization!A:A, 0))*F24</f>
        <v>6.8613771042865923E-2</v>
      </c>
    </row>
    <row r="25" spans="1:15" x14ac:dyDescent="0.35">
      <c r="A25" t="s">
        <v>128</v>
      </c>
      <c r="B25" t="str">
        <f>Characterization!$A$3</f>
        <v>Soybean Center</v>
      </c>
      <c r="C25" s="4">
        <v>46087</v>
      </c>
      <c r="D25" s="4">
        <v>46091</v>
      </c>
      <c r="E25">
        <f t="shared" si="0"/>
        <v>4</v>
      </c>
      <c r="F25" s="2">
        <v>2.0055000000000001</v>
      </c>
      <c r="G25" s="2">
        <v>0.49209999999999998</v>
      </c>
      <c r="H25" s="3">
        <v>-3.92</v>
      </c>
      <c r="I25" s="2">
        <v>10.196</v>
      </c>
      <c r="J25" s="2">
        <v>10.733499999999999</v>
      </c>
      <c r="K25" s="2">
        <v>10.703099999999999</v>
      </c>
      <c r="L25" s="2">
        <f t="shared" si="2"/>
        <v>5.9948728061526797E-2</v>
      </c>
      <c r="M25" s="9">
        <f>INDEX(Characterization!M:M, MATCH('Trial Metadata'!B25, Characterization!A:A, 0))*L25/(INDEX(Characterization!O:O, MATCH('Trial Metadata'!B25, Characterization!A:A, 0))*0.01)</f>
        <v>0.14075461776112638</v>
      </c>
      <c r="N25" s="8">
        <f>INDEX(Characterization!S:S, MATCH('Trial Metadata'!B25, Characterization!A:A, 0))*F25</f>
        <v>6.8562490197542417E-2</v>
      </c>
      <c r="O25" t="s">
        <v>171</v>
      </c>
    </row>
    <row r="26" spans="1:15" x14ac:dyDescent="0.35">
      <c r="A26" t="s">
        <v>153</v>
      </c>
      <c r="B26" t="s">
        <v>160</v>
      </c>
      <c r="C26" s="4">
        <v>46091</v>
      </c>
      <c r="D26" s="4">
        <v>46095</v>
      </c>
      <c r="E26">
        <f t="shared" si="0"/>
        <v>4</v>
      </c>
      <c r="F26" s="2">
        <f>2.0076-0.0031</f>
        <v>2.0045000000000002</v>
      </c>
      <c r="G26" s="2">
        <v>0.49919999999999998</v>
      </c>
      <c r="H26" s="3">
        <v>-29.15</v>
      </c>
      <c r="I26" s="2">
        <v>9.9129000000000005</v>
      </c>
      <c r="J26" s="2">
        <v>10.434900000000001</v>
      </c>
      <c r="K26" s="2">
        <v>10.418799999999999</v>
      </c>
      <c r="L26" s="2">
        <f t="shared" si="2"/>
        <v>3.1824471239378531E-2</v>
      </c>
      <c r="M26" s="9">
        <f>INDEX(Characterization!M:M, MATCH('Trial Metadata'!B26, Characterization!A:A, 0))*L26/(INDEX(Characterization!O:O, MATCH('Trial Metadata'!B26, Characterization!A:A, 0))*0.01)</f>
        <v>9.5443104697907594E-2</v>
      </c>
      <c r="N26" s="8">
        <f>INDEX(Characterization!S:S, MATCH('Trial Metadata'!B26, Characterization!A:A, 0))*F26</f>
        <v>7.9873737288577634E-2</v>
      </c>
      <c r="O26" t="s">
        <v>175</v>
      </c>
    </row>
    <row r="27" spans="1:15" x14ac:dyDescent="0.35">
      <c r="A27" t="s">
        <v>154</v>
      </c>
      <c r="B27" t="s">
        <v>160</v>
      </c>
      <c r="C27" s="4">
        <v>46091</v>
      </c>
      <c r="D27" s="4">
        <v>46095</v>
      </c>
      <c r="E27">
        <f t="shared" si="0"/>
        <v>4</v>
      </c>
      <c r="F27" s="2">
        <f>2.0015-0.0026</f>
        <v>1.9989000000000001</v>
      </c>
      <c r="G27" s="2">
        <v>0.49780000000000002</v>
      </c>
      <c r="H27" s="3">
        <v>-42.2</v>
      </c>
      <c r="I27" s="2">
        <v>10.446300000000001</v>
      </c>
      <c r="J27" s="2">
        <v>10.9688</v>
      </c>
      <c r="K27" s="2">
        <v>10.953799999999999</v>
      </c>
      <c r="L27" s="2">
        <f t="shared" si="2"/>
        <v>2.9556650246306625E-2</v>
      </c>
      <c r="M27" s="9">
        <f>INDEX(Characterization!M:M, MATCH('Trial Metadata'!B27, Characterization!A:A, 0))*L27/(INDEX(Characterization!O:O, MATCH('Trial Metadata'!B27, Characterization!A:A, 0))*0.01)</f>
        <v>8.8641801548209082E-2</v>
      </c>
      <c r="N27" s="8">
        <f>INDEX(Characterization!S:S, MATCH('Trial Metadata'!B27, Characterization!A:A, 0))*F27</f>
        <v>7.9650592899046066E-2</v>
      </c>
      <c r="O27" t="s">
        <v>175</v>
      </c>
    </row>
    <row r="28" spans="1:15" x14ac:dyDescent="0.35">
      <c r="A28" t="s">
        <v>155</v>
      </c>
      <c r="B28" t="s">
        <v>160</v>
      </c>
      <c r="C28" s="4">
        <v>46091</v>
      </c>
      <c r="D28" s="4">
        <v>46095</v>
      </c>
      <c r="E28">
        <f t="shared" si="0"/>
        <v>4</v>
      </c>
      <c r="F28" s="2">
        <f>2.0057-0.0022</f>
        <v>2.0034999999999998</v>
      </c>
      <c r="G28" s="2">
        <v>0.5091</v>
      </c>
      <c r="H28" s="3">
        <v>-22.68</v>
      </c>
      <c r="I28" s="2">
        <v>10.026</v>
      </c>
      <c r="J28" s="2">
        <v>10.5181</v>
      </c>
      <c r="K28" s="2">
        <v>10.5007</v>
      </c>
      <c r="L28" s="2">
        <f t="shared" si="2"/>
        <v>3.6654729302718118E-2</v>
      </c>
      <c r="M28" s="9">
        <f>INDEX(Characterization!M:M, MATCH('Trial Metadata'!B28, Characterization!A:A, 0))*L28/(INDEX(Characterization!O:O, MATCH('Trial Metadata'!B28, Characterization!A:A, 0))*0.01)</f>
        <v>0.10992927864215174</v>
      </c>
      <c r="N28" s="8">
        <f>INDEX(Characterization!S:S, MATCH('Trial Metadata'!B28, Characterization!A:A, 0))*F28</f>
        <v>7.9833890076161276E-2</v>
      </c>
      <c r="O28" t="s">
        <v>175</v>
      </c>
    </row>
    <row r="29" spans="1:15" x14ac:dyDescent="0.35">
      <c r="A29" t="s">
        <v>156</v>
      </c>
      <c r="B29" t="s">
        <v>160</v>
      </c>
      <c r="C29" s="4">
        <v>46091</v>
      </c>
      <c r="D29" s="4">
        <v>46095</v>
      </c>
      <c r="E29">
        <f t="shared" si="0"/>
        <v>4</v>
      </c>
      <c r="F29" s="2">
        <f>2.0084-0.0031</f>
        <v>2.0053000000000001</v>
      </c>
      <c r="G29" s="2">
        <v>0.50819999999999999</v>
      </c>
      <c r="H29" s="3">
        <v>-8</v>
      </c>
      <c r="I29" s="2">
        <v>11.690099999999999</v>
      </c>
      <c r="J29" s="2">
        <v>12.209199999999999</v>
      </c>
      <c r="K29" s="2">
        <v>12.180899999999999</v>
      </c>
      <c r="L29" s="2">
        <f t="shared" si="2"/>
        <v>5.766096169519104E-2</v>
      </c>
      <c r="M29" s="9">
        <f>INDEX(Characterization!M:M, MATCH('Trial Metadata'!B29, Characterization!A:A, 0))*L29/(INDEX(Characterization!O:O, MATCH('Trial Metadata'!B29, Characterization!A:A, 0))*0.01)</f>
        <v>0.17292796988395862</v>
      </c>
      <c r="N29" s="8">
        <f>INDEX(Characterization!S:S, MATCH('Trial Metadata'!B29, Characterization!A:A, 0))*F29</f>
        <v>7.9905615058510709E-2</v>
      </c>
    </row>
    <row r="30" spans="1:15" x14ac:dyDescent="0.35">
      <c r="A30" t="s">
        <v>157</v>
      </c>
      <c r="B30" t="s">
        <v>160</v>
      </c>
      <c r="C30" s="4">
        <v>46091</v>
      </c>
      <c r="D30" s="4">
        <v>46095</v>
      </c>
      <c r="E30">
        <f t="shared" si="0"/>
        <v>4</v>
      </c>
      <c r="F30" s="2">
        <f>2.005-0.0032</f>
        <v>2.0017999999999998</v>
      </c>
      <c r="G30" s="2">
        <v>0.49930000000000002</v>
      </c>
      <c r="H30" s="3">
        <v>-8.5399999999999991</v>
      </c>
      <c r="I30" s="2">
        <v>11.7432</v>
      </c>
      <c r="J30" s="2">
        <v>12.2882</v>
      </c>
      <c r="K30" s="2">
        <v>12.262600000000001</v>
      </c>
      <c r="L30" s="2">
        <f t="shared" si="2"/>
        <v>4.9287639584133437E-2</v>
      </c>
      <c r="M30" s="9">
        <f>INDEX(Characterization!M:M, MATCH('Trial Metadata'!B30, Characterization!A:A, 0))*L30/(INDEX(Characterization!O:O, MATCH('Trial Metadata'!B30, Characterization!A:A, 0))*0.01)</f>
        <v>0.14781597814327252</v>
      </c>
      <c r="N30" s="8">
        <f>INDEX(Characterization!S:S, MATCH('Trial Metadata'!B30, Characterization!A:A, 0))*F30</f>
        <v>7.9766149815053464E-2</v>
      </c>
      <c r="O30" t="s">
        <v>174</v>
      </c>
    </row>
    <row r="31" spans="1:15" x14ac:dyDescent="0.35">
      <c r="A31" t="s">
        <v>158</v>
      </c>
      <c r="B31" t="s">
        <v>160</v>
      </c>
      <c r="C31" s="4">
        <v>46091</v>
      </c>
      <c r="D31" s="4">
        <v>46095</v>
      </c>
      <c r="E31">
        <f t="shared" si="0"/>
        <v>4</v>
      </c>
      <c r="F31" s="2">
        <f>2.0053-0.0036</f>
        <v>2.0017</v>
      </c>
      <c r="G31" s="2">
        <v>0.49780000000000002</v>
      </c>
      <c r="H31" s="3">
        <v>-3.74</v>
      </c>
      <c r="I31" s="2">
        <v>11.7173</v>
      </c>
      <c r="J31" s="2">
        <v>12.233700000000001</v>
      </c>
      <c r="K31" s="2">
        <v>12.2058</v>
      </c>
      <c r="L31" s="2">
        <f t="shared" si="2"/>
        <v>5.711361310133202E-2</v>
      </c>
      <c r="M31" s="9">
        <f>INDEX(Characterization!M:M, MATCH('Trial Metadata'!B31, Characterization!A:A, 0))*L31/(INDEX(Characterization!O:O, MATCH('Trial Metadata'!B31, Characterization!A:A, 0))*0.01)</f>
        <v>0.17128644538675664</v>
      </c>
      <c r="N31" s="8">
        <f>INDEX(Characterization!S:S, MATCH('Trial Metadata'!B31, Characterization!A:A, 0))*F31</f>
        <v>7.9762165093811843E-2</v>
      </c>
    </row>
    <row r="32" spans="1:15" x14ac:dyDescent="0.35">
      <c r="A32" t="s">
        <v>165</v>
      </c>
      <c r="B32" t="s">
        <v>159</v>
      </c>
      <c r="C32" s="4">
        <v>46092</v>
      </c>
      <c r="D32" s="4">
        <v>46096</v>
      </c>
      <c r="E32">
        <f t="shared" si="0"/>
        <v>4</v>
      </c>
      <c r="F32" s="2">
        <f>2.0056-0.0022</f>
        <v>2.0033999999999996</v>
      </c>
      <c r="G32" s="2">
        <v>0.50819999999999999</v>
      </c>
      <c r="H32" s="3">
        <v>-26.42</v>
      </c>
      <c r="I32" s="2">
        <v>10.7102</v>
      </c>
      <c r="J32" s="2">
        <v>11.2226</v>
      </c>
      <c r="K32" s="2">
        <v>11.2075</v>
      </c>
      <c r="L32" s="2">
        <f t="shared" si="2"/>
        <v>3.0363965413232174E-2</v>
      </c>
      <c r="M32" s="9">
        <f>INDEX(Characterization!M:M, MATCH('Trial Metadata'!B32, Characterization!A:A, 0))*L32/(INDEX(Characterization!O:O, MATCH('Trial Metadata'!B32, Characterization!A:A, 0))*0.01)</f>
        <v>8.7144580735976349E-2</v>
      </c>
      <c r="N32" s="8">
        <f>INDEX(Characterization!S:S, MATCH('Trial Metadata'!B32, Characterization!A:A, 0))*F32</f>
        <v>8.951089061312284E-2</v>
      </c>
    </row>
    <row r="33" spans="1:15" x14ac:dyDescent="0.35">
      <c r="A33" t="s">
        <v>166</v>
      </c>
      <c r="B33" t="s">
        <v>159</v>
      </c>
      <c r="C33" s="4">
        <v>46092</v>
      </c>
      <c r="D33" s="4">
        <v>46096</v>
      </c>
      <c r="E33">
        <f t="shared" si="0"/>
        <v>4</v>
      </c>
      <c r="F33" s="2">
        <f>2.0052-0.0037</f>
        <v>2.0015000000000001</v>
      </c>
      <c r="G33" s="2">
        <v>0.49490000000000001</v>
      </c>
      <c r="H33" s="3">
        <v>-22.36</v>
      </c>
      <c r="I33" s="2">
        <v>10.151999999999999</v>
      </c>
      <c r="J33" s="2">
        <v>10.6524</v>
      </c>
      <c r="K33" s="2">
        <v>10.636699999999999</v>
      </c>
      <c r="L33" s="2">
        <f t="shared" si="2"/>
        <v>3.2391169795751414E-2</v>
      </c>
      <c r="M33" s="9">
        <f>INDEX(Characterization!M:M, MATCH('Trial Metadata'!B33, Characterization!A:A, 0))*L33/(INDEX(Characterization!O:O, MATCH('Trial Metadata'!B33, Characterization!A:A, 0))*0.01)</f>
        <v>9.2962657313806568E-2</v>
      </c>
      <c r="N33" s="8">
        <f>INDEX(Characterization!S:S, MATCH('Trial Metadata'!B33, Characterization!A:A, 0))*F33</f>
        <v>8.9425999581793647E-2</v>
      </c>
    </row>
    <row r="34" spans="1:15" x14ac:dyDescent="0.35">
      <c r="A34" t="s">
        <v>167</v>
      </c>
      <c r="B34" t="s">
        <v>159</v>
      </c>
      <c r="C34" s="4">
        <v>46092</v>
      </c>
      <c r="D34" s="4">
        <v>46096</v>
      </c>
      <c r="E34">
        <f t="shared" si="0"/>
        <v>4</v>
      </c>
      <c r="F34" s="2">
        <f>2.0048-0.0038</f>
        <v>2.0009999999999999</v>
      </c>
      <c r="G34" s="2">
        <v>0.50880000000000003</v>
      </c>
      <c r="H34" s="3">
        <v>-19.760000000000002</v>
      </c>
      <c r="I34" s="2">
        <v>9.8386999999999993</v>
      </c>
      <c r="J34" s="2">
        <v>10.3431</v>
      </c>
      <c r="K34" s="2">
        <v>10.325200000000001</v>
      </c>
      <c r="L34" s="2">
        <f t="shared" si="2"/>
        <v>3.6793422404931331E-2</v>
      </c>
      <c r="M34" s="9">
        <f>INDEX(Characterization!M:M, MATCH('Trial Metadata'!B34, Characterization!A:A, 0))*L34/(INDEX(Characterization!O:O, MATCH('Trial Metadata'!B34, Characterization!A:A, 0))*0.01)</f>
        <v>0.10559712230215294</v>
      </c>
      <c r="N34" s="8">
        <f>INDEX(Characterization!S:S, MATCH('Trial Metadata'!B34, Characterization!A:A, 0))*F34</f>
        <v>8.940365983670702E-2</v>
      </c>
      <c r="O34" t="s">
        <v>188</v>
      </c>
    </row>
    <row r="35" spans="1:15" x14ac:dyDescent="0.35">
      <c r="A35" t="s">
        <v>168</v>
      </c>
      <c r="B35" t="s">
        <v>159</v>
      </c>
      <c r="C35" s="4">
        <v>46092</v>
      </c>
      <c r="D35" s="4">
        <v>46096</v>
      </c>
      <c r="E35">
        <f t="shared" si="0"/>
        <v>4</v>
      </c>
      <c r="F35" s="2">
        <f>2.0058-0.0051</f>
        <v>2.0006999999999997</v>
      </c>
      <c r="G35" s="2">
        <v>0.49220000000000003</v>
      </c>
      <c r="H35" s="3">
        <v>-5.71</v>
      </c>
      <c r="I35" s="2">
        <v>10.2281</v>
      </c>
      <c r="J35" s="2">
        <v>10.800800000000001</v>
      </c>
      <c r="K35" s="2">
        <v>10.7689</v>
      </c>
      <c r="L35" s="2">
        <f t="shared" si="2"/>
        <v>5.8986686390532936E-2</v>
      </c>
      <c r="M35" s="9">
        <f>INDEX(Characterization!M:M, MATCH('Trial Metadata'!B35, Characterization!A:A, 0))*L35/(INDEX(Characterization!O:O, MATCH('Trial Metadata'!B35, Characterization!A:A, 0))*0.01)</f>
        <v>0.16929178994082958</v>
      </c>
      <c r="N35" s="8">
        <f>INDEX(Characterization!S:S, MATCH('Trial Metadata'!B35, Characterization!A:A, 0))*F35</f>
        <v>8.9390255989655026E-2</v>
      </c>
    </row>
    <row r="36" spans="1:15" x14ac:dyDescent="0.35">
      <c r="A36" t="s">
        <v>169</v>
      </c>
      <c r="B36" t="s">
        <v>159</v>
      </c>
      <c r="C36" s="4">
        <v>46092</v>
      </c>
      <c r="D36" s="4">
        <v>46096</v>
      </c>
      <c r="E36">
        <f t="shared" si="0"/>
        <v>4</v>
      </c>
      <c r="F36" s="2">
        <f>2.0044-0.0053</f>
        <v>1.9990999999999999</v>
      </c>
      <c r="G36" s="2">
        <v>0.501</v>
      </c>
      <c r="H36" s="3">
        <v>-6.5</v>
      </c>
      <c r="I36" s="2">
        <v>10.6739</v>
      </c>
      <c r="J36" s="2">
        <v>11.2195</v>
      </c>
      <c r="K36" s="2">
        <v>11.187799999999999</v>
      </c>
      <c r="L36" s="2">
        <f t="shared" si="2"/>
        <v>6.1685152753455444E-2</v>
      </c>
      <c r="M36" s="9">
        <f>INDEX(Characterization!M:M, MATCH('Trial Metadata'!B36, Characterization!A:A, 0))*L36/(INDEX(Characterization!O:O, MATCH('Trial Metadata'!B36, Characterization!A:A, 0))*0.01)</f>
        <v>0.17703638840241714</v>
      </c>
      <c r="N36" s="8">
        <f>INDEX(Characterization!S:S, MATCH('Trial Metadata'!B36, Characterization!A:A, 0))*F36</f>
        <v>8.9318768805377799E-2</v>
      </c>
    </row>
    <row r="37" spans="1:15" x14ac:dyDescent="0.35">
      <c r="A37" t="s">
        <v>170</v>
      </c>
      <c r="B37" t="s">
        <v>159</v>
      </c>
      <c r="C37" s="4">
        <v>46092</v>
      </c>
      <c r="D37" s="4">
        <v>46096</v>
      </c>
      <c r="E37">
        <f t="shared" si="0"/>
        <v>4</v>
      </c>
      <c r="F37" s="2">
        <f>2.0036-0.0056</f>
        <v>1.998</v>
      </c>
      <c r="G37" s="2">
        <v>0.503</v>
      </c>
      <c r="H37" s="3">
        <v>-4.87</v>
      </c>
      <c r="I37" s="2">
        <v>10.534800000000001</v>
      </c>
      <c r="J37" s="2">
        <v>11.0832</v>
      </c>
      <c r="K37" s="2">
        <v>11.0505</v>
      </c>
      <c r="L37" s="2">
        <f t="shared" si="2"/>
        <v>6.3408958696917275E-2</v>
      </c>
      <c r="M37" s="9">
        <f>INDEX(Characterization!M:M, MATCH('Trial Metadata'!B37, Characterization!A:A, 0))*L37/(INDEX(Characterization!O:O, MATCH('Trial Metadata'!B37, Characterization!A:A, 0))*0.01)</f>
        <v>0.1819837114601526</v>
      </c>
      <c r="N37" s="8">
        <f>INDEX(Characterization!S:S, MATCH('Trial Metadata'!B37, Characterization!A:A, 0))*F37</f>
        <v>8.9269621366187213E-2</v>
      </c>
    </row>
    <row r="38" spans="1:15" x14ac:dyDescent="0.35">
      <c r="A38" t="s">
        <v>176</v>
      </c>
      <c r="B38" t="s">
        <v>161</v>
      </c>
      <c r="C38" s="4">
        <v>46096</v>
      </c>
      <c r="D38" s="4">
        <v>46099</v>
      </c>
      <c r="E38">
        <f t="shared" si="0"/>
        <v>3</v>
      </c>
      <c r="F38" s="2">
        <f>2.0078-0.004</f>
        <v>2.0038</v>
      </c>
      <c r="G38" s="2">
        <v>0.49380000000000002</v>
      </c>
      <c r="H38" s="3">
        <v>-29.42</v>
      </c>
      <c r="I38" s="2">
        <v>10.369400000000001</v>
      </c>
      <c r="J38" s="2">
        <v>10.8992</v>
      </c>
      <c r="K38" s="2">
        <v>10.870699999999999</v>
      </c>
      <c r="L38" s="2">
        <f t="shared" si="2"/>
        <v>5.6852184320768308E-2</v>
      </c>
      <c r="M38" s="9">
        <f>INDEX(Characterization!M:M, MATCH('Trial Metadata'!B38, Characterization!A:A, 0))*L38/(INDEX(Characterization!O:O, MATCH('Trial Metadata'!B38, Characterization!A:A, 0))*0.01)</f>
        <v>0.12152154398564229</v>
      </c>
      <c r="N38" s="8">
        <f>INDEX(Characterization!S:S, MATCH('Trial Metadata'!B38, Characterization!A:A, 0))*F38</f>
        <v>0.13364852834078569</v>
      </c>
    </row>
    <row r="39" spans="1:15" x14ac:dyDescent="0.35">
      <c r="A39" t="s">
        <v>177</v>
      </c>
      <c r="B39" t="s">
        <v>161</v>
      </c>
      <c r="C39" s="4">
        <v>46096</v>
      </c>
      <c r="D39" s="4">
        <v>46099</v>
      </c>
      <c r="E39">
        <f t="shared" si="0"/>
        <v>3</v>
      </c>
      <c r="F39" s="2">
        <f>2.0046-0.0031</f>
        <v>2.0015000000000001</v>
      </c>
      <c r="G39" s="2">
        <v>0.50290000000000001</v>
      </c>
      <c r="H39" s="3">
        <v>-25.4</v>
      </c>
      <c r="I39" s="2">
        <v>10.393800000000001</v>
      </c>
      <c r="J39" s="2">
        <v>10.902799999999999</v>
      </c>
      <c r="K39" s="2">
        <v>10.8775</v>
      </c>
      <c r="L39" s="2">
        <f t="shared" si="2"/>
        <v>5.230514781889542E-2</v>
      </c>
      <c r="M39" s="9">
        <f>INDEX(Characterization!M:M, MATCH('Trial Metadata'!B39, Characterization!A:A, 0))*L39/(INDEX(Characterization!O:O, MATCH('Trial Metadata'!B39, Characterization!A:A, 0))*0.01)</f>
        <v>0.11180225346288898</v>
      </c>
      <c r="N39" s="8">
        <f>INDEX(Characterization!S:S, MATCH('Trial Metadata'!B39, Characterization!A:A, 0))*F39</f>
        <v>0.13349512400143854</v>
      </c>
    </row>
    <row r="40" spans="1:15" x14ac:dyDescent="0.35">
      <c r="A40" t="s">
        <v>178</v>
      </c>
      <c r="B40" t="s">
        <v>161</v>
      </c>
      <c r="C40" s="4">
        <v>46096</v>
      </c>
      <c r="D40" s="4">
        <v>46099</v>
      </c>
      <c r="E40">
        <f t="shared" si="0"/>
        <v>3</v>
      </c>
      <c r="F40" s="2">
        <f>2.0049-0.0023</f>
        <v>2.0026000000000002</v>
      </c>
      <c r="G40" s="2">
        <v>0.50290000000000001</v>
      </c>
      <c r="H40" s="3">
        <v>-18.5</v>
      </c>
      <c r="I40" s="2">
        <v>10.099</v>
      </c>
      <c r="J40" s="2">
        <v>10.6288</v>
      </c>
      <c r="K40" s="2">
        <v>10.601100000000001</v>
      </c>
      <c r="L40" s="2">
        <f t="shared" si="2"/>
        <v>5.5168293168690236E-2</v>
      </c>
      <c r="M40" s="9">
        <f>INDEX(Characterization!M:M, MATCH('Trial Metadata'!B40, Characterization!A:A, 0))*L40/(INDEX(Characterization!O:O, MATCH('Trial Metadata'!B40, Characterization!A:A, 0))*0.01)</f>
        <v>0.11792222664807539</v>
      </c>
      <c r="N40" s="8">
        <f>INDEX(Characterization!S:S, MATCH('Trial Metadata'!B40, Characterization!A:A, 0))*F40</f>
        <v>0.13356849129416978</v>
      </c>
    </row>
    <row r="41" spans="1:15" x14ac:dyDescent="0.35">
      <c r="A41" t="s">
        <v>179</v>
      </c>
      <c r="B41" t="s">
        <v>161</v>
      </c>
      <c r="C41" s="4">
        <v>46096</v>
      </c>
      <c r="D41" s="4">
        <v>46099</v>
      </c>
      <c r="E41">
        <f t="shared" si="0"/>
        <v>3</v>
      </c>
      <c r="F41" s="2">
        <f>2.0045-0.0024</f>
        <v>2.0021</v>
      </c>
      <c r="G41" s="2">
        <v>0.50619999999999998</v>
      </c>
      <c r="H41" s="3">
        <v>-4.4400000000000004</v>
      </c>
      <c r="I41" s="2">
        <v>10.409800000000001</v>
      </c>
      <c r="J41" s="2">
        <v>10.9655</v>
      </c>
      <c r="K41" s="2">
        <v>10.9185</v>
      </c>
      <c r="L41" s="2">
        <f t="shared" si="2"/>
        <v>9.2392372714764429E-2</v>
      </c>
      <c r="M41" s="9">
        <f>INDEX(Characterization!M:M, MATCH('Trial Metadata'!B41, Characterization!A:A, 0))*L41/(INDEX(Characterization!O:O, MATCH('Trial Metadata'!B41, Characterization!A:A, 0))*0.01)</f>
        <v>0.19748869667780899</v>
      </c>
      <c r="N41" s="8">
        <f>INDEX(Characterization!S:S, MATCH('Trial Metadata'!B41, Characterization!A:A, 0))*F41</f>
        <v>0.13353514252474649</v>
      </c>
    </row>
    <row r="42" spans="1:15" x14ac:dyDescent="0.35">
      <c r="A42" t="s">
        <v>180</v>
      </c>
      <c r="B42" t="s">
        <v>161</v>
      </c>
      <c r="C42" s="4">
        <v>46096</v>
      </c>
      <c r="D42" s="4">
        <v>46099</v>
      </c>
      <c r="E42">
        <f t="shared" si="0"/>
        <v>3</v>
      </c>
      <c r="F42" s="2">
        <f>2.0045-0.0024</f>
        <v>2.0021</v>
      </c>
      <c r="G42" s="2">
        <v>0.48930000000000001</v>
      </c>
      <c r="H42" s="3">
        <v>-4.37</v>
      </c>
      <c r="I42" s="2">
        <v>10.1736</v>
      </c>
      <c r="J42" s="2">
        <v>10.7921</v>
      </c>
      <c r="K42" s="2">
        <v>10.739000000000001</v>
      </c>
      <c r="L42" s="2">
        <f t="shared" si="2"/>
        <v>9.3915811814642342E-2</v>
      </c>
      <c r="M42" s="9">
        <f>INDEX(Characterization!M:M, MATCH('Trial Metadata'!B42, Characterization!A:A, 0))*L42/(INDEX(Characterization!O:O, MATCH('Trial Metadata'!B42, Characterization!A:A, 0))*0.01)</f>
        <v>0.20074504775379801</v>
      </c>
      <c r="N42" s="8">
        <f>INDEX(Characterization!S:S, MATCH('Trial Metadata'!B42, Characterization!A:A, 0))*F42</f>
        <v>0.13353514252474649</v>
      </c>
    </row>
    <row r="43" spans="1:15" x14ac:dyDescent="0.35">
      <c r="A43" t="s">
        <v>181</v>
      </c>
      <c r="B43" t="s">
        <v>161</v>
      </c>
      <c r="C43" s="4">
        <v>46096</v>
      </c>
      <c r="D43" s="4">
        <v>46099</v>
      </c>
      <c r="E43">
        <f t="shared" si="0"/>
        <v>3</v>
      </c>
      <c r="F43" s="2">
        <f>2.0037-0.0035</f>
        <v>2.0002</v>
      </c>
      <c r="G43" s="2">
        <v>0.49780000000000002</v>
      </c>
      <c r="H43" s="3">
        <v>-3.97</v>
      </c>
      <c r="I43" s="2">
        <v>10.8683</v>
      </c>
      <c r="J43" s="2">
        <v>11.4085</v>
      </c>
      <c r="K43" s="2">
        <v>11.362399999999999</v>
      </c>
      <c r="L43" s="2">
        <f t="shared" si="2"/>
        <v>9.3300951224450437E-2</v>
      </c>
      <c r="M43" s="9">
        <f>INDEX(Characterization!M:M, MATCH('Trial Metadata'!B43, Characterization!A:A, 0))*L43/(INDEX(Characterization!O:O, MATCH('Trial Metadata'!B43, Characterization!A:A, 0))*0.01)</f>
        <v>0.19943078324226282</v>
      </c>
      <c r="N43" s="8">
        <f>INDEX(Characterization!S:S, MATCH('Trial Metadata'!B43, Characterization!A:A, 0))*F43</f>
        <v>0.13340841720093799</v>
      </c>
    </row>
    <row r="44" spans="1:15" x14ac:dyDescent="0.35">
      <c r="A44" t="s">
        <v>182</v>
      </c>
      <c r="B44" t="s">
        <v>163</v>
      </c>
      <c r="C44" s="4">
        <v>46098</v>
      </c>
      <c r="D44" s="4">
        <v>46103</v>
      </c>
      <c r="E44">
        <f t="shared" si="0"/>
        <v>5</v>
      </c>
      <c r="F44" s="2">
        <f>2.0083-0.002</f>
        <v>2.0063000000000004</v>
      </c>
      <c r="G44" s="2">
        <v>0.50339999999999996</v>
      </c>
      <c r="H44" s="3">
        <v>-23.1</v>
      </c>
      <c r="I44" s="2">
        <v>10.0167</v>
      </c>
      <c r="J44" s="2">
        <v>10.5594</v>
      </c>
      <c r="K44" s="2">
        <v>10.5412</v>
      </c>
      <c r="L44" s="2">
        <f t="shared" ref="L44:L61" si="3">(J44-K44)/(K44-I44)</f>
        <v>3.4699714013346469E-2</v>
      </c>
      <c r="M44" s="9">
        <f>INDEX(Characterization!M:M, MATCH('Trial Metadata'!B44, Characterization!A:A, 0))*L44/(INDEX(Characterization!O:O, MATCH('Trial Metadata'!B44, Characterization!A:A, 0))*0.01)</f>
        <v>9.9036138313546546E-2</v>
      </c>
      <c r="N44" s="8">
        <f>INDEX(Characterization!S:S, MATCH('Trial Metadata'!B44, Characterization!A:A, 0))*F44</f>
        <v>8.0068814235591521E-2</v>
      </c>
    </row>
    <row r="45" spans="1:15" x14ac:dyDescent="0.35">
      <c r="A45" t="s">
        <v>183</v>
      </c>
      <c r="B45" t="s">
        <v>163</v>
      </c>
      <c r="C45" s="4">
        <v>46098</v>
      </c>
      <c r="D45" s="4">
        <v>46103</v>
      </c>
      <c r="E45">
        <f t="shared" si="0"/>
        <v>5</v>
      </c>
      <c r="F45" s="2">
        <f>2.0048-0.0029</f>
        <v>2.0019</v>
      </c>
      <c r="G45" s="2">
        <v>0.5</v>
      </c>
      <c r="H45" s="3">
        <v>-12.85</v>
      </c>
      <c r="I45" s="2">
        <v>10.873699999999999</v>
      </c>
      <c r="J45" s="2">
        <v>11.383599999999999</v>
      </c>
      <c r="K45" s="2">
        <v>11.363</v>
      </c>
      <c r="L45" s="2">
        <f t="shared" si="3"/>
        <v>4.2100960555896072E-2</v>
      </c>
      <c r="M45" s="9">
        <f>INDEX(Characterization!M:M, MATCH('Trial Metadata'!B45, Characterization!A:A, 0))*L45/(INDEX(Characterization!O:O, MATCH('Trial Metadata'!B45, Characterization!A:A, 0))*0.01)</f>
        <v>0.12015996878657788</v>
      </c>
      <c r="N45" s="8">
        <f>INDEX(Characterization!S:S, MATCH('Trial Metadata'!B45, Characterization!A:A, 0))*F45</f>
        <v>7.9893215978782156E-2</v>
      </c>
    </row>
    <row r="46" spans="1:15" x14ac:dyDescent="0.35">
      <c r="A46" t="s">
        <v>184</v>
      </c>
      <c r="B46" t="s">
        <v>163</v>
      </c>
      <c r="C46" s="4">
        <v>46098</v>
      </c>
      <c r="D46" s="4">
        <v>46103</v>
      </c>
      <c r="E46">
        <f t="shared" si="0"/>
        <v>5</v>
      </c>
      <c r="F46" s="2">
        <f>2.0052-0.0021</f>
        <v>2.0030999999999999</v>
      </c>
      <c r="G46" s="2">
        <v>0.5141</v>
      </c>
      <c r="H46" s="3">
        <v>-23.88</v>
      </c>
      <c r="I46" s="2">
        <v>10.099500000000001</v>
      </c>
      <c r="J46" s="2">
        <v>10.6052</v>
      </c>
      <c r="K46" s="2">
        <v>10.588900000000001</v>
      </c>
      <c r="L46" s="2">
        <f t="shared" si="3"/>
        <v>3.3306089088678631E-2</v>
      </c>
      <c r="M46" s="9">
        <f>INDEX(Characterization!M:M, MATCH('Trial Metadata'!B46, Characterization!A:A, 0))*L46/(INDEX(Characterization!O:O, MATCH('Trial Metadata'!B46, Characterization!A:A, 0))*0.01)</f>
        <v>9.5058606085369562E-2</v>
      </c>
      <c r="N46" s="8">
        <f>INDEX(Characterization!S:S, MATCH('Trial Metadata'!B46, Characterization!A:A, 0))*F46</f>
        <v>7.9941106412457427E-2</v>
      </c>
    </row>
    <row r="47" spans="1:15" x14ac:dyDescent="0.35">
      <c r="A47" t="s">
        <v>185</v>
      </c>
      <c r="B47" t="s">
        <v>163</v>
      </c>
      <c r="C47" s="4">
        <v>46098</v>
      </c>
      <c r="D47" s="4">
        <v>46103</v>
      </c>
      <c r="E47">
        <f t="shared" si="0"/>
        <v>5</v>
      </c>
      <c r="F47" s="2">
        <f>2.0041-0.0034</f>
        <v>2.0007000000000001</v>
      </c>
      <c r="G47" s="2">
        <v>0.49740000000000001</v>
      </c>
      <c r="H47" s="3">
        <v>-5.24</v>
      </c>
      <c r="I47" s="2">
        <v>10.8667</v>
      </c>
      <c r="J47" s="2">
        <v>11.4329</v>
      </c>
      <c r="K47" s="2">
        <v>11.402200000000001</v>
      </c>
      <c r="L47" s="2">
        <f t="shared" si="3"/>
        <v>5.7329598506068093E-2</v>
      </c>
      <c r="M47" s="9">
        <f>INDEX(Characterization!M:M, MATCH('Trial Metadata'!B47, Characterization!A:A, 0))*L47/(INDEX(Characterization!O:O, MATCH('Trial Metadata'!B47, Characterization!A:A, 0))*0.01)</f>
        <v>0.16362388591800064</v>
      </c>
      <c r="N47" s="8">
        <f>INDEX(Characterization!S:S, MATCH('Trial Metadata'!B47, Characterization!A:A, 0))*F47</f>
        <v>7.9845325545106885E-2</v>
      </c>
    </row>
    <row r="48" spans="1:15" x14ac:dyDescent="0.35">
      <c r="A48" t="s">
        <v>186</v>
      </c>
      <c r="B48" t="s">
        <v>163</v>
      </c>
      <c r="C48" s="4">
        <v>46098</v>
      </c>
      <c r="D48" s="4">
        <v>46103</v>
      </c>
      <c r="E48">
        <f t="shared" si="0"/>
        <v>5</v>
      </c>
      <c r="F48" s="2">
        <f>2.0013-0.0017</f>
        <v>1.9996</v>
      </c>
      <c r="G48" s="2">
        <v>0.50519999999999998</v>
      </c>
      <c r="H48" s="3">
        <v>-5.61</v>
      </c>
      <c r="I48" s="2">
        <v>10.1945</v>
      </c>
      <c r="J48" s="2">
        <v>10.7476</v>
      </c>
      <c r="K48" s="2">
        <v>10.716200000000001</v>
      </c>
      <c r="L48" s="2">
        <f t="shared" si="3"/>
        <v>6.01878474218892E-2</v>
      </c>
      <c r="M48" s="9">
        <f>INDEX(Characterization!M:M, MATCH('Trial Metadata'!B48, Characterization!A:A, 0))*L48/(INDEX(Characterization!O:O, MATCH('Trial Metadata'!B48, Characterization!A:A, 0))*0.01)</f>
        <v>0.17178158816456462</v>
      </c>
      <c r="N48" s="8">
        <f>INDEX(Characterization!S:S, MATCH('Trial Metadata'!B48, Characterization!A:A, 0))*F48</f>
        <v>7.9801425980904533E-2</v>
      </c>
    </row>
    <row r="49" spans="1:14" x14ac:dyDescent="0.35">
      <c r="A49" t="s">
        <v>187</v>
      </c>
      <c r="B49" t="s">
        <v>163</v>
      </c>
      <c r="C49" s="4">
        <v>46098</v>
      </c>
      <c r="D49" s="4">
        <v>46103</v>
      </c>
      <c r="E49">
        <f t="shared" si="0"/>
        <v>5</v>
      </c>
      <c r="F49" s="2">
        <f>2.0024-0.0027</f>
        <v>1.9997000000000003</v>
      </c>
      <c r="G49" s="2">
        <v>0.50600000000000001</v>
      </c>
      <c r="H49" s="3">
        <v>-6.62</v>
      </c>
      <c r="I49" s="2">
        <v>10.2639</v>
      </c>
      <c r="J49" s="2">
        <v>10.7363</v>
      </c>
      <c r="K49" s="2">
        <v>10.712300000000001</v>
      </c>
      <c r="L49" s="2">
        <f t="shared" si="3"/>
        <v>5.3523639607491229E-2</v>
      </c>
      <c r="M49" s="9">
        <f>INDEX(Characterization!M:M, MATCH('Trial Metadata'!B49, Characterization!A:A, 0))*L49/(INDEX(Characterization!O:O, MATCH('Trial Metadata'!B49, Characterization!A:A, 0))*0.01)</f>
        <v>0.15276133322519878</v>
      </c>
      <c r="N49" s="8">
        <f>INDEX(Characterization!S:S, MATCH('Trial Metadata'!B49, Characterization!A:A, 0))*F49</f>
        <v>7.9805416850377481E-2</v>
      </c>
    </row>
    <row r="50" spans="1:14" x14ac:dyDescent="0.35">
      <c r="A50" t="s">
        <v>189</v>
      </c>
      <c r="B50" t="s">
        <v>164</v>
      </c>
      <c r="C50" s="4">
        <v>46100</v>
      </c>
      <c r="D50" s="4">
        <v>46106</v>
      </c>
      <c r="E50">
        <f t="shared" si="0"/>
        <v>6</v>
      </c>
      <c r="F50" s="2">
        <f>2.002-0.0013</f>
        <v>2.0006999999999997</v>
      </c>
      <c r="G50" s="2">
        <v>0.50039999999999996</v>
      </c>
      <c r="H50" s="3">
        <v>-10.15</v>
      </c>
      <c r="I50" s="2">
        <v>10.7189</v>
      </c>
      <c r="J50" s="2">
        <v>11.2569</v>
      </c>
      <c r="K50" s="2">
        <v>11.2318</v>
      </c>
      <c r="L50" s="2">
        <f t="shared" si="3"/>
        <v>4.8937414700721611E-2</v>
      </c>
      <c r="M50" s="9">
        <f>INDEX(Characterization!M:M, MATCH('Trial Metadata'!B50, Characterization!A:A, 0))*L50/(INDEX(Characterization!O:O, MATCH('Trial Metadata'!B50, Characterization!A:A, 0))*0.01)</f>
        <v>0.11243371027490792</v>
      </c>
      <c r="N50" s="8">
        <f>INDEX(Characterization!S:S, MATCH('Trial Metadata'!B50, Characterization!A:A, 0))*F50</f>
        <v>7.8653977889724017E-2</v>
      </c>
    </row>
    <row r="51" spans="1:14" x14ac:dyDescent="0.35">
      <c r="A51" t="s">
        <v>190</v>
      </c>
      <c r="B51" t="s">
        <v>164</v>
      </c>
      <c r="C51" s="4">
        <v>46100</v>
      </c>
      <c r="D51" s="4">
        <v>46106</v>
      </c>
      <c r="E51">
        <f t="shared" si="0"/>
        <v>6</v>
      </c>
      <c r="F51" s="2">
        <f>2.0021-0.0009</f>
        <v>2.0011999999999999</v>
      </c>
      <c r="G51" s="2">
        <v>0.49659999999999999</v>
      </c>
      <c r="H51" s="3">
        <v>-8.5500000000000007</v>
      </c>
      <c r="I51" s="2">
        <v>10.160600000000001</v>
      </c>
      <c r="J51" s="2">
        <v>10.7181</v>
      </c>
      <c r="K51" s="2">
        <v>10.695499999999999</v>
      </c>
      <c r="L51" s="2">
        <f t="shared" si="3"/>
        <v>4.2250888016452944E-2</v>
      </c>
      <c r="M51" s="9">
        <f>INDEX(Characterization!M:M, MATCH('Trial Metadata'!B51, Characterization!A:A, 0))*L51/(INDEX(Characterization!O:O, MATCH('Trial Metadata'!B51, Characterization!A:A, 0))*0.01)</f>
        <v>9.7071415217800661E-2</v>
      </c>
      <c r="N51" s="8">
        <f>INDEX(Characterization!S:S, MATCH('Trial Metadata'!B51, Characterization!A:A, 0))*F51</f>
        <v>7.8673634504381321E-2</v>
      </c>
    </row>
    <row r="52" spans="1:14" x14ac:dyDescent="0.35">
      <c r="A52" t="s">
        <v>191</v>
      </c>
      <c r="B52" t="s">
        <v>164</v>
      </c>
      <c r="C52" s="4">
        <v>46100</v>
      </c>
      <c r="D52" s="4">
        <v>46106</v>
      </c>
      <c r="E52">
        <f t="shared" si="0"/>
        <v>6</v>
      </c>
      <c r="F52" s="2">
        <f>2.0036-0.0017</f>
        <v>2.0019</v>
      </c>
      <c r="G52" s="2">
        <v>0.505</v>
      </c>
      <c r="H52" s="3">
        <v>-13.67</v>
      </c>
      <c r="I52" s="2">
        <v>9.7448999999999995</v>
      </c>
      <c r="J52" s="2">
        <v>10.3002</v>
      </c>
      <c r="K52" s="2">
        <v>10.2784</v>
      </c>
      <c r="L52" s="2">
        <f t="shared" si="3"/>
        <v>4.0862230552953523E-2</v>
      </c>
      <c r="M52" s="9">
        <f>INDEX(Characterization!M:M, MATCH('Trial Metadata'!B52, Characterization!A:A, 0))*L52/(INDEX(Characterization!O:O, MATCH('Trial Metadata'!B52, Characterization!A:A, 0))*0.01)</f>
        <v>9.3880974695410735E-2</v>
      </c>
      <c r="N52" s="8">
        <f>INDEX(Characterization!S:S, MATCH('Trial Metadata'!B52, Characterization!A:A, 0))*F52</f>
        <v>7.8701153764901555E-2</v>
      </c>
    </row>
    <row r="53" spans="1:14" x14ac:dyDescent="0.35">
      <c r="A53" t="s">
        <v>192</v>
      </c>
      <c r="B53" t="s">
        <v>164</v>
      </c>
      <c r="C53" s="4">
        <v>46100</v>
      </c>
      <c r="D53" s="4">
        <v>46106</v>
      </c>
      <c r="E53">
        <f t="shared" si="0"/>
        <v>6</v>
      </c>
      <c r="F53" s="2">
        <f>2.0085-0.0019</f>
        <v>2.0066000000000002</v>
      </c>
      <c r="G53" s="2">
        <v>0.50249999999999995</v>
      </c>
      <c r="H53" s="3">
        <v>-1.51</v>
      </c>
      <c r="I53" s="2">
        <v>10.650399999999999</v>
      </c>
      <c r="J53" s="2">
        <v>11.274800000000001</v>
      </c>
      <c r="K53" s="2">
        <v>11.228199999999999</v>
      </c>
      <c r="L53" s="2">
        <f t="shared" si="3"/>
        <v>8.0650744202148739E-2</v>
      </c>
      <c r="M53" s="9">
        <f>INDEX(Characterization!M:M, MATCH('Trial Metadata'!B53, Characterization!A:A, 0))*L53/(INDEX(Characterization!O:O, MATCH('Trial Metadata'!B53, Characterization!A:A, 0))*0.01)</f>
        <v>0.18529508480443677</v>
      </c>
      <c r="N53" s="8">
        <f>INDEX(Characterization!S:S, MATCH('Trial Metadata'!B53, Characterization!A:A, 0))*F53</f>
        <v>7.8885925942680193E-2</v>
      </c>
    </row>
    <row r="54" spans="1:14" x14ac:dyDescent="0.35">
      <c r="A54" t="s">
        <v>193</v>
      </c>
      <c r="B54" t="s">
        <v>164</v>
      </c>
      <c r="C54" s="4">
        <v>46100</v>
      </c>
      <c r="D54" s="4">
        <v>46106</v>
      </c>
      <c r="E54">
        <f t="shared" si="0"/>
        <v>6</v>
      </c>
      <c r="F54" s="2">
        <f>2.0032-0.0025</f>
        <v>2.0007000000000001</v>
      </c>
      <c r="G54" s="2">
        <v>0.51490000000000002</v>
      </c>
      <c r="H54" s="3">
        <v>-1.62</v>
      </c>
      <c r="I54" s="2">
        <v>10.289199999999999</v>
      </c>
      <c r="J54" s="2">
        <v>10.752800000000001</v>
      </c>
      <c r="K54" s="2">
        <v>10.7179</v>
      </c>
      <c r="L54" s="2">
        <f t="shared" si="3"/>
        <v>8.1408910660135989E-2</v>
      </c>
      <c r="M54" s="9">
        <f>INDEX(Characterization!M:M, MATCH('Trial Metadata'!B54, Characterization!A:A, 0))*L54/(INDEX(Characterization!O:O, MATCH('Trial Metadata'!B54, Characterization!A:A, 0))*0.01)</f>
        <v>0.18703697224166249</v>
      </c>
      <c r="N54" s="8">
        <f>INDEX(Characterization!S:S, MATCH('Trial Metadata'!B54, Characterization!A:A, 0))*F54</f>
        <v>7.865397788972403E-2</v>
      </c>
    </row>
    <row r="55" spans="1:14" x14ac:dyDescent="0.35">
      <c r="A55" t="s">
        <v>194</v>
      </c>
      <c r="B55" t="s">
        <v>164</v>
      </c>
      <c r="C55" s="4">
        <v>46100</v>
      </c>
      <c r="D55" s="4">
        <v>46106</v>
      </c>
      <c r="E55">
        <f t="shared" si="0"/>
        <v>6</v>
      </c>
      <c r="F55" s="2">
        <f>2.0021-0.0037</f>
        <v>1.9984</v>
      </c>
      <c r="G55" s="2">
        <v>0.503</v>
      </c>
      <c r="H55" s="3">
        <v>-2.11</v>
      </c>
      <c r="I55" s="2">
        <v>10.1212</v>
      </c>
      <c r="J55" s="2">
        <v>10.7133</v>
      </c>
      <c r="K55" s="2">
        <v>10.6708</v>
      </c>
      <c r="L55" s="2">
        <f t="shared" si="3"/>
        <v>7.7328966521107059E-2</v>
      </c>
      <c r="M55" s="9">
        <f>INDEX(Characterization!M:M, MATCH('Trial Metadata'!B55, Characterization!A:A, 0))*L55/(INDEX(Characterization!O:O, MATCH('Trial Metadata'!B55, Characterization!A:A, 0))*0.01)</f>
        <v>0.17766330058224353</v>
      </c>
      <c r="N55" s="8">
        <f>INDEX(Characterization!S:S, MATCH('Trial Metadata'!B55, Characterization!A:A, 0))*F55</f>
        <v>7.856355746230044E-2</v>
      </c>
    </row>
    <row r="56" spans="1:14" x14ac:dyDescent="0.35">
      <c r="A56" t="s">
        <v>195</v>
      </c>
      <c r="B56" t="s">
        <v>162</v>
      </c>
      <c r="C56" s="4">
        <v>46101</v>
      </c>
      <c r="D56" s="4">
        <v>46107</v>
      </c>
      <c r="E56">
        <f t="shared" si="0"/>
        <v>6</v>
      </c>
      <c r="F56" s="2">
        <f>2.0024-0.0023</f>
        <v>2.0001000000000002</v>
      </c>
      <c r="G56" s="2">
        <v>0.49709999999999999</v>
      </c>
      <c r="H56" s="3">
        <v>-28.37</v>
      </c>
      <c r="I56" s="2">
        <v>10.866300000000001</v>
      </c>
      <c r="J56" s="2">
        <v>11.392099999999999</v>
      </c>
      <c r="K56" s="2">
        <v>11.373100000000001</v>
      </c>
      <c r="L56" s="2">
        <f t="shared" si="3"/>
        <v>3.7490134175213782E-2</v>
      </c>
      <c r="M56" s="9">
        <f>INDEX(Characterization!M:M, MATCH('Trial Metadata'!B56, Characterization!A:A, 0))*L56/(INDEX(Characterization!O:O, MATCH('Trial Metadata'!B56, Characterization!A:A, 0))*0.01)</f>
        <v>0.10795454545453606</v>
      </c>
      <c r="N56" s="8">
        <f>INDEX(Characterization!S:S, MATCH('Trial Metadata'!B56, Characterization!A:A, 0))*F56</f>
        <v>8.1511950488862395E-2</v>
      </c>
    </row>
    <row r="57" spans="1:14" x14ac:dyDescent="0.35">
      <c r="A57" t="s">
        <v>196</v>
      </c>
      <c r="B57" t="s">
        <v>162</v>
      </c>
      <c r="C57" s="4">
        <v>46101</v>
      </c>
      <c r="D57" s="4">
        <v>46107</v>
      </c>
      <c r="E57">
        <f t="shared" si="0"/>
        <v>6</v>
      </c>
      <c r="F57" s="2">
        <f>2.0038-0.0042</f>
        <v>1.9996</v>
      </c>
      <c r="G57" s="2">
        <v>0.49809999999999999</v>
      </c>
      <c r="H57" s="3">
        <v>-40.17</v>
      </c>
      <c r="I57" s="2">
        <v>10.8736</v>
      </c>
      <c r="J57" s="2">
        <v>11.370699999999999</v>
      </c>
      <c r="K57" s="2">
        <v>11.3551</v>
      </c>
      <c r="L57" s="2">
        <f t="shared" si="3"/>
        <v>3.2398753894079244E-2</v>
      </c>
      <c r="M57" s="9">
        <f>INDEX(Characterization!M:M, MATCH('Trial Metadata'!B57, Characterization!A:A, 0))*L57/(INDEX(Characterization!O:O, MATCH('Trial Metadata'!B57, Characterization!A:A, 0))*0.01)</f>
        <v>9.3293684508632735E-2</v>
      </c>
      <c r="N57" s="8">
        <f>INDEX(Characterization!S:S, MATCH('Trial Metadata'!B57, Characterization!A:A, 0))*F57</f>
        <v>8.1491573520088623E-2</v>
      </c>
    </row>
    <row r="58" spans="1:14" x14ac:dyDescent="0.35">
      <c r="A58" t="s">
        <v>197</v>
      </c>
      <c r="B58" t="s">
        <v>162</v>
      </c>
      <c r="C58" s="4">
        <v>46101</v>
      </c>
      <c r="D58" s="4">
        <v>46107</v>
      </c>
      <c r="E58">
        <f t="shared" si="0"/>
        <v>6</v>
      </c>
      <c r="F58" s="2">
        <f>2.0081-0.0025</f>
        <v>2.0056000000000003</v>
      </c>
      <c r="H58" s="3">
        <v>-43.07</v>
      </c>
      <c r="I58" s="2">
        <v>10.099600000000001</v>
      </c>
      <c r="J58" s="2">
        <v>10.6029</v>
      </c>
      <c r="K58" s="2">
        <v>10.5863</v>
      </c>
      <c r="L58" s="2">
        <f t="shared" si="3"/>
        <v>3.4107252927882525E-2</v>
      </c>
      <c r="M58" s="9">
        <f>INDEX(Characterization!M:M, MATCH('Trial Metadata'!B58, Characterization!A:A, 0))*L58/(INDEX(Characterization!O:O, MATCH('Trial Metadata'!B58, Characterization!A:A, 0))*0.01)</f>
        <v>9.8213385135516279E-2</v>
      </c>
      <c r="N58" s="8">
        <f>INDEX(Characterization!S:S, MATCH('Trial Metadata'!B58, Characterization!A:A, 0))*F58</f>
        <v>8.1736097145373957E-2</v>
      </c>
    </row>
    <row r="59" spans="1:14" x14ac:dyDescent="0.35">
      <c r="A59" t="s">
        <v>198</v>
      </c>
      <c r="B59" t="s">
        <v>162</v>
      </c>
      <c r="C59" s="4">
        <v>46101</v>
      </c>
      <c r="D59" s="4">
        <v>46107</v>
      </c>
      <c r="E59">
        <f t="shared" si="0"/>
        <v>6</v>
      </c>
      <c r="F59" s="2">
        <f>2.0044-0.0019</f>
        <v>2.0024999999999999</v>
      </c>
      <c r="G59" s="2">
        <v>0.51390000000000002</v>
      </c>
      <c r="H59" s="3">
        <v>-5.77</v>
      </c>
      <c r="I59" s="2">
        <v>10.0169</v>
      </c>
      <c r="J59" s="2">
        <v>10.569599999999999</v>
      </c>
      <c r="K59" s="2">
        <v>10.5375</v>
      </c>
      <c r="L59" s="2">
        <f t="shared" si="3"/>
        <v>6.1659623511332688E-2</v>
      </c>
      <c r="M59" s="9">
        <f>INDEX(Characterization!M:M, MATCH('Trial Metadata'!B59, Characterization!A:A, 0))*L59/(INDEX(Characterization!O:O, MATCH('Trial Metadata'!B59, Characterization!A:A, 0))*0.01)</f>
        <v>0.17755168861104209</v>
      </c>
      <c r="N59" s="8">
        <f>INDEX(Characterization!S:S, MATCH('Trial Metadata'!B59, Characterization!A:A, 0))*F59</f>
        <v>8.1609759938976525E-2</v>
      </c>
    </row>
    <row r="60" spans="1:14" x14ac:dyDescent="0.35">
      <c r="A60" t="s">
        <v>199</v>
      </c>
      <c r="B60" t="s">
        <v>162</v>
      </c>
      <c r="C60" s="4">
        <v>46101</v>
      </c>
      <c r="D60" s="4">
        <v>46107</v>
      </c>
      <c r="E60">
        <f t="shared" si="0"/>
        <v>6</v>
      </c>
      <c r="F60" s="2">
        <f>2.0056-0.003</f>
        <v>2.0025999999999997</v>
      </c>
      <c r="G60" s="2" t="s">
        <v>260</v>
      </c>
      <c r="H60" s="3">
        <v>-5.12</v>
      </c>
      <c r="I60" s="2">
        <v>10.1943</v>
      </c>
      <c r="J60" s="2">
        <v>10.7667</v>
      </c>
      <c r="K60" s="2">
        <v>10.734999999999999</v>
      </c>
      <c r="L60" s="2">
        <f t="shared" si="3"/>
        <v>5.8627704827077437E-2</v>
      </c>
      <c r="M60" s="9">
        <f>INDEX(Characterization!M:M, MATCH('Trial Metadata'!B60, Characterization!A:A, 0))*L60/(INDEX(Characterization!O:O, MATCH('Trial Metadata'!B60, Characterization!A:A, 0))*0.01)</f>
        <v>0.16882114094524348</v>
      </c>
      <c r="N60" s="8">
        <f>INDEX(Characterization!S:S, MATCH('Trial Metadata'!B60, Characterization!A:A, 0))*F60</f>
        <v>8.1613835332731269E-2</v>
      </c>
    </row>
    <row r="61" spans="1:14" x14ac:dyDescent="0.35">
      <c r="A61" t="s">
        <v>200</v>
      </c>
      <c r="B61" t="s">
        <v>162</v>
      </c>
      <c r="C61" s="4">
        <v>46101</v>
      </c>
      <c r="D61" s="4">
        <v>46107</v>
      </c>
      <c r="E61">
        <f t="shared" si="0"/>
        <v>6</v>
      </c>
      <c r="F61" s="2">
        <f>2.0033-0.0025</f>
        <v>2.0007999999999999</v>
      </c>
      <c r="G61" s="2">
        <v>0.50649999999999995</v>
      </c>
      <c r="H61" s="3">
        <v>-6.76</v>
      </c>
      <c r="I61" s="2">
        <v>10.203900000000001</v>
      </c>
      <c r="J61" s="2">
        <v>10.795500000000001</v>
      </c>
      <c r="K61" s="2">
        <v>10.7651</v>
      </c>
      <c r="L61" s="2">
        <f t="shared" si="3"/>
        <v>5.4169636493229208E-2</v>
      </c>
      <c r="M61" s="9">
        <f>INDEX(Characterization!M:M, MATCH('Trial Metadata'!B61, Characterization!A:A, 0))*L61/(INDEX(Characterization!O:O, MATCH('Trial Metadata'!B61, Characterization!A:A, 0))*0.01)</f>
        <v>0.15598393053845774</v>
      </c>
      <c r="N61" s="8">
        <f>INDEX(Characterization!S:S, MATCH('Trial Metadata'!B61, Characterization!A:A, 0))*F61</f>
        <v>8.1540478245145681E-2</v>
      </c>
    </row>
    <row r="62" spans="1:14" x14ac:dyDescent="0.35">
      <c r="A62" t="s">
        <v>54</v>
      </c>
      <c r="B62" t="str">
        <f>Characterization!$A$2</f>
        <v>Soybean Undisturbed</v>
      </c>
      <c r="C62" s="4">
        <v>46031</v>
      </c>
      <c r="D62" s="4"/>
      <c r="F62" s="2">
        <f>2.0038-0.0083</f>
        <v>1.9955000000000001</v>
      </c>
      <c r="N62" s="8">
        <f>INDEX(Characterization!S:S, MATCH('Trial Metadata'!B62, Characterization!A:A, 0))*F62</f>
        <v>9.5923997443002049E-2</v>
      </c>
    </row>
    <row r="63" spans="1:14" x14ac:dyDescent="0.35">
      <c r="A63" t="s">
        <v>55</v>
      </c>
      <c r="B63" t="str">
        <f>Characterization!$A$2</f>
        <v>Soybean Undisturbed</v>
      </c>
      <c r="C63" s="4">
        <v>46031</v>
      </c>
      <c r="D63" s="4"/>
      <c r="F63" s="2">
        <f>2.0063-0.0145</f>
        <v>1.9918</v>
      </c>
      <c r="N63" s="8">
        <f>INDEX(Characterization!S:S, MATCH('Trial Metadata'!B63, Characterization!A:A, 0))*F63</f>
        <v>9.5746137863679026E-2</v>
      </c>
    </row>
    <row r="64" spans="1:14" x14ac:dyDescent="0.35">
      <c r="A64" t="s">
        <v>56</v>
      </c>
      <c r="B64" t="str">
        <f>Characterization!$A$2</f>
        <v>Soybean Undisturbed</v>
      </c>
      <c r="C64" s="4">
        <v>46031</v>
      </c>
      <c r="D64" s="4"/>
      <c r="F64" s="2">
        <f>2.0138-0.0145</f>
        <v>1.9992999999999999</v>
      </c>
      <c r="N64" s="8">
        <f>INDEX(Characterization!S:S, MATCH('Trial Metadata'!B64, Characterization!A:A, 0))*F64</f>
        <v>9.6106664037982459E-2</v>
      </c>
    </row>
    <row r="65" spans="1:14" x14ac:dyDescent="0.35">
      <c r="A65" t="s">
        <v>57</v>
      </c>
      <c r="B65" t="str">
        <f>Characterization!$A$2</f>
        <v>Soybean Undisturbed</v>
      </c>
      <c r="C65" s="4">
        <v>46031</v>
      </c>
      <c r="D65" s="4"/>
      <c r="F65" s="2">
        <f>2.0277-0.0147</f>
        <v>2.0129999999999999</v>
      </c>
      <c r="N65" s="8">
        <f>INDEX(Characterization!S:S, MATCH('Trial Metadata'!B65, Characterization!A:A, 0))*F65</f>
        <v>9.676522518304341E-2</v>
      </c>
    </row>
    <row r="66" spans="1:14" x14ac:dyDescent="0.35">
      <c r="A66" t="s">
        <v>58</v>
      </c>
      <c r="B66" t="str">
        <f>Characterization!$A$2</f>
        <v>Soybean Undisturbed</v>
      </c>
      <c r="C66" s="4">
        <v>46031</v>
      </c>
      <c r="D66" s="4"/>
      <c r="F66" s="2">
        <f>2.0169-0.0108</f>
        <v>2.0061</v>
      </c>
      <c r="N66" s="8">
        <f>INDEX(Characterization!S:S, MATCH('Trial Metadata'!B66, Characterization!A:A, 0))*F66</f>
        <v>9.6433541102684248E-2</v>
      </c>
    </row>
    <row r="67" spans="1:14" x14ac:dyDescent="0.35">
      <c r="A67" t="s">
        <v>59</v>
      </c>
      <c r="B67" t="str">
        <f>Characterization!$A$2</f>
        <v>Soybean Undisturbed</v>
      </c>
      <c r="C67" s="4">
        <v>46031</v>
      </c>
      <c r="D67" s="4"/>
      <c r="F67" s="2">
        <f>2.0203-0.0114</f>
        <v>2.0089000000000001</v>
      </c>
      <c r="N67" s="8">
        <f>INDEX(Characterization!S:S, MATCH('Trial Metadata'!B67, Characterization!A:A, 0))*F67</f>
        <v>9.6568137541090879E-2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F3F8-58E1-498C-8CE8-5AC6F1098C32}">
  <dimension ref="A1:J73"/>
  <sheetViews>
    <sheetView workbookViewId="0">
      <selection activeCell="H6" sqref="H6"/>
    </sheetView>
  </sheetViews>
  <sheetFormatPr defaultRowHeight="14.5" x14ac:dyDescent="0.35"/>
  <cols>
    <col min="1" max="1" width="8.36328125" bestFit="1" customWidth="1"/>
    <col min="2" max="2" width="8.453125" style="12" bestFit="1" customWidth="1"/>
    <col min="3" max="3" width="12.6328125" bestFit="1" customWidth="1"/>
    <col min="4" max="4" width="22.54296875" bestFit="1" customWidth="1"/>
    <col min="5" max="5" width="24.7265625" bestFit="1" customWidth="1"/>
    <col min="6" max="6" width="18.453125" style="13" customWidth="1"/>
    <col min="7" max="7" width="16.54296875" customWidth="1"/>
    <col min="8" max="8" width="23.1796875" bestFit="1" customWidth="1"/>
  </cols>
  <sheetData>
    <row r="1" spans="1:10" ht="29" x14ac:dyDescent="0.35">
      <c r="A1" s="1" t="s">
        <v>202</v>
      </c>
      <c r="B1" s="1" t="s">
        <v>34</v>
      </c>
      <c r="C1" t="s">
        <v>201</v>
      </c>
      <c r="D1" t="s">
        <v>64</v>
      </c>
      <c r="E1" t="s">
        <v>243</v>
      </c>
      <c r="F1" s="1" t="s">
        <v>264</v>
      </c>
      <c r="G1" s="1" t="s">
        <v>263</v>
      </c>
      <c r="H1" t="s">
        <v>92</v>
      </c>
    </row>
    <row r="2" spans="1:10" x14ac:dyDescent="0.35">
      <c r="A2">
        <v>1</v>
      </c>
      <c r="B2" s="12">
        <v>45856</v>
      </c>
      <c r="C2" t="s">
        <v>206</v>
      </c>
      <c r="D2" t="str">
        <f>CONCATENATE(ROW(B2)-1,"-",TEXT(B2, "mm-dd-yyyy"),"-",C2)</f>
        <v>1-07-18-2025-FGF-SF-20-1</v>
      </c>
      <c r="E2" t="str">
        <f>SUBSTITUTE(D2,"-","_")</f>
        <v>1_07_18_2025_FGF_SF_20_1</v>
      </c>
      <c r="F2" s="13">
        <v>148.1</v>
      </c>
      <c r="G2" s="13">
        <v>149</v>
      </c>
      <c r="H2" t="s">
        <v>256</v>
      </c>
      <c r="I2" t="s">
        <v>244</v>
      </c>
      <c r="J2" t="s">
        <v>203</v>
      </c>
    </row>
    <row r="3" spans="1:10" x14ac:dyDescent="0.35">
      <c r="A3">
        <v>2</v>
      </c>
      <c r="B3" s="12">
        <v>45856</v>
      </c>
      <c r="C3" t="s">
        <v>207</v>
      </c>
      <c r="D3" t="str">
        <f t="shared" ref="D3:D66" si="0">CONCATENATE(ROW(B3)-1,"-",TEXT(B3, "mm-dd-yyyy"),"-",C3)</f>
        <v>2-07-18-2025-FGF-SF-20-2</v>
      </c>
      <c r="E3" t="str">
        <f t="shared" ref="E3:E4" si="1">SUBSTITUTE(D3,"-","_")</f>
        <v>2_07_18_2025_FGF_SF_20_2</v>
      </c>
      <c r="F3" s="13">
        <v>132.69999999999999</v>
      </c>
      <c r="G3" s="13">
        <v>134.30000000000001</v>
      </c>
      <c r="I3" t="s">
        <v>244</v>
      </c>
      <c r="J3" t="s">
        <v>204</v>
      </c>
    </row>
    <row r="4" spans="1:10" x14ac:dyDescent="0.35">
      <c r="A4">
        <v>3</v>
      </c>
      <c r="B4" s="12">
        <v>45856</v>
      </c>
      <c r="C4" t="s">
        <v>208</v>
      </c>
      <c r="D4" t="str">
        <f t="shared" si="0"/>
        <v>3-07-18-2025-FGF-SF-20-3</v>
      </c>
      <c r="E4" t="str">
        <f t="shared" si="1"/>
        <v>3_07_18_2025_FGF_SF_20_3</v>
      </c>
      <c r="F4" s="13">
        <v>171.9</v>
      </c>
      <c r="G4" s="13">
        <v>171.6</v>
      </c>
      <c r="I4" t="s">
        <v>244</v>
      </c>
      <c r="J4" t="s">
        <v>205</v>
      </c>
    </row>
    <row r="5" spans="1:10" x14ac:dyDescent="0.35">
      <c r="A5">
        <v>4</v>
      </c>
      <c r="B5" s="12">
        <v>45860</v>
      </c>
      <c r="C5" t="s">
        <v>203</v>
      </c>
      <c r="D5" t="str">
        <f t="shared" si="0"/>
        <v>4-07-22-2025-FGF-RM-20-1</v>
      </c>
      <c r="E5" t="str">
        <f t="shared" ref="E3:E66" si="2">SUBSTITUTE(D5,"-","_")</f>
        <v>4_07_22_2025_FGF_RM_20_1</v>
      </c>
      <c r="F5" s="13">
        <v>287.7</v>
      </c>
      <c r="G5" s="13">
        <v>276</v>
      </c>
      <c r="I5" t="s">
        <v>244</v>
      </c>
      <c r="J5" t="s">
        <v>206</v>
      </c>
    </row>
    <row r="6" spans="1:10" x14ac:dyDescent="0.35">
      <c r="A6">
        <v>5</v>
      </c>
      <c r="B6" s="12">
        <v>45860</v>
      </c>
      <c r="C6" t="s">
        <v>204</v>
      </c>
      <c r="D6" t="str">
        <f t="shared" si="0"/>
        <v>5-07-22-2025-FGF-RM-20-2</v>
      </c>
      <c r="E6" t="str">
        <f t="shared" si="2"/>
        <v>5_07_22_2025_FGF_RM_20_2</v>
      </c>
      <c r="F6" s="13">
        <v>280.7</v>
      </c>
      <c r="G6" s="13">
        <v>458.2</v>
      </c>
      <c r="H6" t="s">
        <v>255</v>
      </c>
      <c r="I6" t="s">
        <v>244</v>
      </c>
      <c r="J6" t="s">
        <v>207</v>
      </c>
    </row>
    <row r="7" spans="1:10" x14ac:dyDescent="0.35">
      <c r="A7">
        <v>6</v>
      </c>
      <c r="B7" s="12">
        <v>45860</v>
      </c>
      <c r="C7" t="s">
        <v>205</v>
      </c>
      <c r="D7" t="str">
        <f t="shared" si="0"/>
        <v>6-07-22-2025-FGF-RM-20-3</v>
      </c>
      <c r="E7" t="str">
        <f t="shared" si="2"/>
        <v>6_07_22_2025_FGF_RM_20_3</v>
      </c>
      <c r="F7" s="13">
        <v>271.10000000000002</v>
      </c>
      <c r="G7" s="13">
        <v>323.7</v>
      </c>
      <c r="H7" t="s">
        <v>258</v>
      </c>
      <c r="I7" t="s">
        <v>244</v>
      </c>
      <c r="J7" t="s">
        <v>208</v>
      </c>
    </row>
    <row r="8" spans="1:10" x14ac:dyDescent="0.35">
      <c r="A8">
        <v>7</v>
      </c>
      <c r="B8" s="12">
        <v>45856</v>
      </c>
      <c r="C8" t="s">
        <v>234</v>
      </c>
      <c r="D8" t="str">
        <f t="shared" si="0"/>
        <v>7-07-18-2025-FGF-CO-20-1</v>
      </c>
      <c r="E8" t="str">
        <f t="shared" si="2"/>
        <v>7_07_18_2025_FGF_CO_20_1</v>
      </c>
      <c r="F8" s="13">
        <v>245.2</v>
      </c>
      <c r="G8" s="13">
        <v>540.9</v>
      </c>
      <c r="H8" t="s">
        <v>257</v>
      </c>
    </row>
    <row r="9" spans="1:10" x14ac:dyDescent="0.35">
      <c r="A9">
        <v>8</v>
      </c>
      <c r="B9" s="12">
        <v>45856</v>
      </c>
      <c r="C9" t="s">
        <v>235</v>
      </c>
      <c r="D9" t="str">
        <f t="shared" si="0"/>
        <v>8-07-18-2025-FGF-CO-20-2</v>
      </c>
      <c r="E9" t="str">
        <f t="shared" si="2"/>
        <v>8_07_18_2025_FGF_CO_20_2</v>
      </c>
      <c r="F9" s="13">
        <v>201.9</v>
      </c>
      <c r="G9" s="13">
        <v>180.2</v>
      </c>
      <c r="H9" t="s">
        <v>248</v>
      </c>
    </row>
    <row r="10" spans="1:10" x14ac:dyDescent="0.35">
      <c r="A10">
        <v>9</v>
      </c>
      <c r="B10" s="12">
        <v>45856</v>
      </c>
      <c r="C10" t="s">
        <v>236</v>
      </c>
      <c r="D10" t="str">
        <f t="shared" si="0"/>
        <v>9-07-18-2025-FGF-CO-20-3</v>
      </c>
      <c r="E10" t="str">
        <f t="shared" si="2"/>
        <v>9_07_18_2025_FGF_CO_20_3</v>
      </c>
      <c r="F10" s="13">
        <v>182.4</v>
      </c>
      <c r="G10" s="13">
        <v>198.9</v>
      </c>
    </row>
    <row r="11" spans="1:10" x14ac:dyDescent="0.35">
      <c r="A11">
        <v>10</v>
      </c>
      <c r="B11" s="12">
        <v>45860</v>
      </c>
      <c r="C11" t="s">
        <v>209</v>
      </c>
      <c r="D11" t="str">
        <f t="shared" si="0"/>
        <v>10-07-22-2025-FGF-OR-20-1</v>
      </c>
      <c r="E11" t="str">
        <f t="shared" si="2"/>
        <v>10_07_22_2025_FGF_OR_20_1</v>
      </c>
      <c r="F11" s="13">
        <v>197</v>
      </c>
      <c r="G11" s="13">
        <v>186.6</v>
      </c>
    </row>
    <row r="12" spans="1:10" x14ac:dyDescent="0.35">
      <c r="A12">
        <v>11</v>
      </c>
      <c r="B12" s="12">
        <v>45860</v>
      </c>
      <c r="C12" t="s">
        <v>210</v>
      </c>
      <c r="D12" t="str">
        <f t="shared" si="0"/>
        <v>11-07-22-2025-FGF-OR-20-2</v>
      </c>
      <c r="E12" t="str">
        <f t="shared" si="2"/>
        <v>11_07_22_2025_FGF_OR_20_2</v>
      </c>
      <c r="F12" s="13">
        <v>172.2</v>
      </c>
      <c r="G12" s="13">
        <v>212.1</v>
      </c>
    </row>
    <row r="13" spans="1:10" x14ac:dyDescent="0.35">
      <c r="A13">
        <v>12</v>
      </c>
      <c r="B13" s="12">
        <v>45860</v>
      </c>
      <c r="C13" t="s">
        <v>211</v>
      </c>
      <c r="D13" t="str">
        <f t="shared" si="0"/>
        <v>12-07-22-2025-FGF-OR-20-3</v>
      </c>
      <c r="E13" t="str">
        <f t="shared" si="2"/>
        <v>12_07_22_2025_FGF_OR_20_3</v>
      </c>
      <c r="F13" s="13">
        <v>246.1</v>
      </c>
      <c r="G13" s="13">
        <v>230.8</v>
      </c>
    </row>
    <row r="14" spans="1:10" x14ac:dyDescent="0.35">
      <c r="A14">
        <v>13</v>
      </c>
      <c r="B14" s="12">
        <v>45862</v>
      </c>
      <c r="C14" t="s">
        <v>212</v>
      </c>
      <c r="D14" t="str">
        <f t="shared" si="0"/>
        <v>13-07-24-2025-FGF-SOD-20-1</v>
      </c>
      <c r="E14" t="str">
        <f t="shared" si="2"/>
        <v>13_07_24_2025_FGF_SOD_20_1</v>
      </c>
      <c r="F14" s="13">
        <v>619.79999999999995</v>
      </c>
      <c r="G14" s="13">
        <v>1009.2</v>
      </c>
      <c r="H14" t="s">
        <v>259</v>
      </c>
    </row>
    <row r="15" spans="1:10" x14ac:dyDescent="0.35">
      <c r="A15">
        <v>14</v>
      </c>
      <c r="B15" s="12">
        <v>45862</v>
      </c>
      <c r="C15" t="s">
        <v>213</v>
      </c>
      <c r="D15" t="str">
        <f t="shared" si="0"/>
        <v>14-07-24-2025-FGF-SOD-20-2</v>
      </c>
      <c r="E15" t="str">
        <f t="shared" si="2"/>
        <v>14_07_24_2025_FGF_SOD_20_2</v>
      </c>
      <c r="F15" s="13">
        <v>671.8</v>
      </c>
      <c r="G15" s="13">
        <v>1344.7</v>
      </c>
      <c r="H15" t="s">
        <v>261</v>
      </c>
    </row>
    <row r="16" spans="1:10" x14ac:dyDescent="0.35">
      <c r="A16">
        <v>15</v>
      </c>
      <c r="B16" s="12">
        <v>45862</v>
      </c>
      <c r="C16" t="s">
        <v>214</v>
      </c>
      <c r="D16" t="str">
        <f t="shared" si="0"/>
        <v>15-07-24-2025-FGF-SOD-20-3</v>
      </c>
      <c r="E16" t="str">
        <f t="shared" si="2"/>
        <v>15_07_24_2025_FGF_SOD_20_3</v>
      </c>
      <c r="F16" s="13">
        <v>580.20000000000005</v>
      </c>
      <c r="G16" s="13">
        <v>1153.9000000000001</v>
      </c>
      <c r="H16" t="s">
        <v>262</v>
      </c>
    </row>
    <row r="17" spans="1:8" x14ac:dyDescent="0.35">
      <c r="A17">
        <v>16</v>
      </c>
      <c r="B17" s="12">
        <v>46233</v>
      </c>
      <c r="C17" t="s">
        <v>215</v>
      </c>
      <c r="D17" t="str">
        <f t="shared" si="0"/>
        <v>16-07-30-2026-MF-AS-20-1</v>
      </c>
      <c r="E17" t="str">
        <f t="shared" si="2"/>
        <v>16_07_30_2026_MF_AS_20_1</v>
      </c>
      <c r="F17" s="13">
        <v>97.8</v>
      </c>
      <c r="G17" s="13">
        <v>96.6</v>
      </c>
      <c r="H17" t="s">
        <v>251</v>
      </c>
    </row>
    <row r="18" spans="1:8" x14ac:dyDescent="0.35">
      <c r="A18">
        <v>17</v>
      </c>
      <c r="B18" s="12">
        <v>46233</v>
      </c>
      <c r="C18" t="s">
        <v>216</v>
      </c>
      <c r="D18" t="str">
        <f t="shared" si="0"/>
        <v>17-07-30-2026-MF-AS-20-2</v>
      </c>
      <c r="E18" t="str">
        <f t="shared" si="2"/>
        <v>17_07_30_2026_MF_AS_20_2</v>
      </c>
      <c r="F18" s="13">
        <v>143</v>
      </c>
      <c r="G18" s="13">
        <v>275.5</v>
      </c>
    </row>
    <row r="19" spans="1:8" x14ac:dyDescent="0.35">
      <c r="A19">
        <v>18</v>
      </c>
      <c r="B19" s="12">
        <v>46233</v>
      </c>
      <c r="C19" t="s">
        <v>217</v>
      </c>
      <c r="D19" t="str">
        <f t="shared" si="0"/>
        <v>18-07-30-2026-MF-AS-20-3</v>
      </c>
      <c r="E19" t="str">
        <f t="shared" si="2"/>
        <v>18_07_30_2026_MF_AS_20_3</v>
      </c>
      <c r="F19" s="13">
        <v>149.80000000000001</v>
      </c>
      <c r="G19" s="13">
        <v>149.30000000000001</v>
      </c>
      <c r="H19" t="s">
        <v>249</v>
      </c>
    </row>
    <row r="20" spans="1:8" x14ac:dyDescent="0.35">
      <c r="A20">
        <v>19</v>
      </c>
      <c r="B20" s="12">
        <v>45862</v>
      </c>
      <c r="C20" t="s">
        <v>218</v>
      </c>
      <c r="D20" t="str">
        <f t="shared" si="0"/>
        <v>19-07-24-2025-FGF-BW-20-1</v>
      </c>
      <c r="E20" t="str">
        <f t="shared" si="2"/>
        <v>19_07_24_2025_FGF_BW_20_1</v>
      </c>
      <c r="F20" s="13">
        <v>207.9</v>
      </c>
      <c r="G20" s="13">
        <v>284.2</v>
      </c>
    </row>
    <row r="21" spans="1:8" x14ac:dyDescent="0.35">
      <c r="A21">
        <v>20</v>
      </c>
      <c r="B21" s="12">
        <v>45862</v>
      </c>
      <c r="C21" t="s">
        <v>219</v>
      </c>
      <c r="D21" t="str">
        <f t="shared" si="0"/>
        <v>20-07-24-2025-FGF-BW-20-2</v>
      </c>
      <c r="E21" t="str">
        <f t="shared" si="2"/>
        <v>20_07_24_2025_FGF_BW_20_2</v>
      </c>
      <c r="F21" s="13">
        <v>263.60000000000002</v>
      </c>
      <c r="G21" s="13">
        <v>561.20000000000005</v>
      </c>
    </row>
    <row r="22" spans="1:8" x14ac:dyDescent="0.35">
      <c r="A22">
        <v>21</v>
      </c>
      <c r="B22" s="12">
        <v>45862</v>
      </c>
      <c r="C22" t="s">
        <v>220</v>
      </c>
      <c r="D22" t="str">
        <f t="shared" si="0"/>
        <v>21-07-24-2025-FGF-BW-20-3</v>
      </c>
      <c r="E22" t="str">
        <f t="shared" si="2"/>
        <v>21_07_24_2025_FGF_BW_20_3</v>
      </c>
      <c r="F22" s="13">
        <v>226.5</v>
      </c>
      <c r="G22" s="13">
        <v>239.7</v>
      </c>
      <c r="H22" t="s">
        <v>250</v>
      </c>
    </row>
    <row r="23" spans="1:8" x14ac:dyDescent="0.35">
      <c r="A23">
        <v>22</v>
      </c>
      <c r="B23" s="12">
        <v>46233</v>
      </c>
      <c r="C23" t="s">
        <v>221</v>
      </c>
      <c r="D23" t="str">
        <f t="shared" si="0"/>
        <v>22-07-30-2026-MF-CH-20-1</v>
      </c>
      <c r="E23" t="str">
        <f t="shared" si="2"/>
        <v>22_07_30_2026_MF_CH_20_1</v>
      </c>
      <c r="F23" s="13">
        <v>62.1</v>
      </c>
      <c r="G23" s="13">
        <v>59.7</v>
      </c>
      <c r="H23" t="s">
        <v>254</v>
      </c>
    </row>
    <row r="24" spans="1:8" x14ac:dyDescent="0.35">
      <c r="A24">
        <v>23</v>
      </c>
      <c r="B24" s="12">
        <v>46233</v>
      </c>
      <c r="C24" t="s">
        <v>222</v>
      </c>
      <c r="D24" t="str">
        <f t="shared" si="0"/>
        <v>23-07-30-2026-MF-CH-20-2</v>
      </c>
      <c r="E24" t="str">
        <f t="shared" si="2"/>
        <v>23_07_30_2026_MF_CH_20_2</v>
      </c>
      <c r="F24" s="13">
        <v>101.7</v>
      </c>
      <c r="G24" s="13">
        <v>140.19999999999999</v>
      </c>
    </row>
    <row r="25" spans="1:8" x14ac:dyDescent="0.35">
      <c r="A25">
        <v>24</v>
      </c>
      <c r="B25" s="12">
        <v>46233</v>
      </c>
      <c r="C25" t="s">
        <v>223</v>
      </c>
      <c r="D25" t="str">
        <f t="shared" si="0"/>
        <v>24-07-30-2026-MF-CH-20-3</v>
      </c>
      <c r="E25" t="str">
        <f t="shared" si="2"/>
        <v>24_07_30_2026_MF_CH_20_3</v>
      </c>
      <c r="F25" s="13">
        <v>91.2</v>
      </c>
      <c r="G25" s="13">
        <v>94.2</v>
      </c>
      <c r="H25" t="s">
        <v>245</v>
      </c>
    </row>
    <row r="26" spans="1:8" x14ac:dyDescent="0.35">
      <c r="A26">
        <v>25</v>
      </c>
      <c r="B26" s="12">
        <v>46090</v>
      </c>
      <c r="C26" t="s">
        <v>35</v>
      </c>
      <c r="D26" t="str">
        <f t="shared" si="0"/>
        <v>25-03-09-2026-Soy-UD-15-1</v>
      </c>
      <c r="E26" t="str">
        <f t="shared" si="2"/>
        <v>25_03_09_2026_Soy_UD_15_1</v>
      </c>
      <c r="F26" s="13">
        <v>447.4</v>
      </c>
      <c r="G26" s="13">
        <v>637.29999999999995</v>
      </c>
      <c r="H26" t="s">
        <v>247</v>
      </c>
    </row>
    <row r="27" spans="1:8" x14ac:dyDescent="0.35">
      <c r="A27">
        <v>26</v>
      </c>
      <c r="B27" s="12">
        <v>46090</v>
      </c>
      <c r="C27" t="s">
        <v>42</v>
      </c>
      <c r="D27" t="str">
        <f t="shared" si="0"/>
        <v>26-03-09-2026-Soy-UD-15-2</v>
      </c>
      <c r="E27" t="str">
        <f t="shared" si="2"/>
        <v>26_03_09_2026_Soy_UD_15_2</v>
      </c>
      <c r="F27" s="13">
        <v>574.70000000000005</v>
      </c>
      <c r="G27" s="13">
        <v>564.20000000000005</v>
      </c>
    </row>
    <row r="28" spans="1:8" x14ac:dyDescent="0.35">
      <c r="A28">
        <v>27</v>
      </c>
      <c r="B28" s="12">
        <v>46090</v>
      </c>
      <c r="C28" t="s">
        <v>224</v>
      </c>
      <c r="D28" t="str">
        <f t="shared" si="0"/>
        <v>27-03-09-2026-Soy-UD-15-3</v>
      </c>
      <c r="E28" t="str">
        <f t="shared" si="2"/>
        <v>27_03_09_2026_Soy_UD_15_3</v>
      </c>
      <c r="F28" s="13">
        <v>453.1</v>
      </c>
      <c r="G28" s="13">
        <v>967.6</v>
      </c>
      <c r="H28" t="s">
        <v>253</v>
      </c>
    </row>
    <row r="29" spans="1:8" x14ac:dyDescent="0.35">
      <c r="A29">
        <v>28</v>
      </c>
      <c r="B29" s="12">
        <v>46090</v>
      </c>
      <c r="C29" t="s">
        <v>225</v>
      </c>
      <c r="D29" t="str">
        <f t="shared" si="0"/>
        <v>28-03-09-2026-Soy-UD-25-1</v>
      </c>
      <c r="E29" t="str">
        <f t="shared" si="2"/>
        <v>28_03_09_2026_Soy_UD_25_1</v>
      </c>
      <c r="F29" s="13">
        <v>461.8</v>
      </c>
      <c r="G29" s="13">
        <v>730.2</v>
      </c>
    </row>
    <row r="30" spans="1:8" x14ac:dyDescent="0.35">
      <c r="A30">
        <v>29</v>
      </c>
      <c r="B30" s="12">
        <v>46090</v>
      </c>
      <c r="C30" t="s">
        <v>226</v>
      </c>
      <c r="D30" t="str">
        <f t="shared" si="0"/>
        <v>29-03-09-2026-Soy-UD-25-2</v>
      </c>
      <c r="E30" t="str">
        <f t="shared" si="2"/>
        <v>29_03_09_2026_Soy_UD_25_2</v>
      </c>
      <c r="F30" s="13">
        <v>348.2</v>
      </c>
      <c r="G30" s="13">
        <v>292</v>
      </c>
      <c r="H30" t="s">
        <v>246</v>
      </c>
    </row>
    <row r="31" spans="1:8" x14ac:dyDescent="0.35">
      <c r="A31">
        <v>30</v>
      </c>
      <c r="B31" s="12">
        <v>46090</v>
      </c>
      <c r="C31" t="s">
        <v>227</v>
      </c>
      <c r="D31" t="str">
        <f t="shared" si="0"/>
        <v>30-03-09-2026-Soy-UD-25-3</v>
      </c>
      <c r="E31" t="str">
        <f t="shared" si="2"/>
        <v>30_03_09_2026_Soy_UD_25_3</v>
      </c>
      <c r="F31" s="13">
        <v>445.5</v>
      </c>
      <c r="G31" s="13">
        <v>944.5</v>
      </c>
    </row>
    <row r="32" spans="1:8" x14ac:dyDescent="0.35">
      <c r="A32">
        <v>31</v>
      </c>
      <c r="B32" s="12">
        <v>46091</v>
      </c>
      <c r="C32" t="s">
        <v>228</v>
      </c>
      <c r="D32" t="str">
        <f t="shared" si="0"/>
        <v>31-03-10-2026-Soy-C-15-1</v>
      </c>
      <c r="E32" t="str">
        <f t="shared" si="2"/>
        <v>31_03_10_2026_Soy_C_15_1</v>
      </c>
      <c r="F32" s="13">
        <v>133.5</v>
      </c>
      <c r="G32" s="13">
        <v>126.4</v>
      </c>
    </row>
    <row r="33" spans="1:8" x14ac:dyDescent="0.35">
      <c r="A33">
        <v>32</v>
      </c>
      <c r="B33" s="12">
        <v>46091</v>
      </c>
      <c r="C33" t="s">
        <v>229</v>
      </c>
      <c r="D33" t="str">
        <f t="shared" si="0"/>
        <v>32-03-10-2026-Soy-C-15-2</v>
      </c>
      <c r="E33" t="str">
        <f t="shared" si="2"/>
        <v>32_03_10_2026_Soy_C_15_2</v>
      </c>
      <c r="F33" s="13">
        <v>207.6</v>
      </c>
      <c r="G33" s="13">
        <v>245.5</v>
      </c>
    </row>
    <row r="34" spans="1:8" x14ac:dyDescent="0.35">
      <c r="A34">
        <v>33</v>
      </c>
      <c r="B34" s="12">
        <v>46091</v>
      </c>
      <c r="C34" t="s">
        <v>230</v>
      </c>
      <c r="D34" t="str">
        <f t="shared" si="0"/>
        <v>33-03-10-2026-Soy-C-15-3</v>
      </c>
      <c r="E34" t="str">
        <f t="shared" si="2"/>
        <v>33_03_10_2026_Soy_C_15_3</v>
      </c>
      <c r="F34" s="13">
        <v>169.4</v>
      </c>
      <c r="G34" s="13">
        <v>288.10000000000002</v>
      </c>
    </row>
    <row r="35" spans="1:8" x14ac:dyDescent="0.35">
      <c r="A35">
        <v>34</v>
      </c>
      <c r="B35" s="12">
        <v>46091</v>
      </c>
      <c r="C35" t="s">
        <v>231</v>
      </c>
      <c r="D35" t="str">
        <f t="shared" si="0"/>
        <v>34-03-10-2026-Soy-C-25-1</v>
      </c>
      <c r="E35" t="str">
        <f t="shared" si="2"/>
        <v>34_03_10_2026_Soy_C_25_1</v>
      </c>
      <c r="F35" s="13">
        <v>122.5</v>
      </c>
      <c r="G35" s="13">
        <v>108.2</v>
      </c>
    </row>
    <row r="36" spans="1:8" x14ac:dyDescent="0.35">
      <c r="A36">
        <v>35</v>
      </c>
      <c r="B36" s="12">
        <v>46091</v>
      </c>
      <c r="C36" t="s">
        <v>232</v>
      </c>
      <c r="D36" t="str">
        <f t="shared" si="0"/>
        <v>35-03-10-2026-Soy-C-25-2</v>
      </c>
      <c r="E36" t="str">
        <f t="shared" si="2"/>
        <v>35_03_10_2026_Soy_C_25_2</v>
      </c>
      <c r="F36" s="13">
        <v>173.4</v>
      </c>
      <c r="G36" s="13">
        <v>452.9</v>
      </c>
    </row>
    <row r="37" spans="1:8" x14ac:dyDescent="0.35">
      <c r="A37">
        <v>36</v>
      </c>
      <c r="B37" s="12">
        <v>46091</v>
      </c>
      <c r="C37" t="s">
        <v>233</v>
      </c>
      <c r="D37" t="str">
        <f t="shared" si="0"/>
        <v>36-03-10-2026-Soy-C-25-3</v>
      </c>
      <c r="E37" t="str">
        <f t="shared" si="2"/>
        <v>36_03_10_2026_Soy_C_25_3</v>
      </c>
      <c r="F37" s="13">
        <v>163.30000000000001</v>
      </c>
      <c r="G37" s="13">
        <v>150.9</v>
      </c>
      <c r="H37" t="s">
        <v>252</v>
      </c>
    </row>
    <row r="38" spans="1:8" x14ac:dyDescent="0.35">
      <c r="A38">
        <v>37</v>
      </c>
      <c r="B38" s="12">
        <v>46095</v>
      </c>
      <c r="C38" t="s">
        <v>153</v>
      </c>
      <c r="D38" t="str">
        <f t="shared" si="0"/>
        <v>37-03-14-2026-FGF-OR-15-1</v>
      </c>
      <c r="E38" t="str">
        <f t="shared" si="2"/>
        <v>37_03_14_2026_FGF_OR_15_1</v>
      </c>
      <c r="F38" s="13">
        <v>274.89999999999998</v>
      </c>
      <c r="G38" s="13">
        <v>337.7</v>
      </c>
    </row>
    <row r="39" spans="1:8" x14ac:dyDescent="0.35">
      <c r="A39">
        <v>38</v>
      </c>
      <c r="B39" s="12">
        <v>46095</v>
      </c>
      <c r="C39" t="s">
        <v>154</v>
      </c>
      <c r="D39" t="str">
        <f t="shared" si="0"/>
        <v>38-03-14-2026-FGF-OR-15-2</v>
      </c>
      <c r="E39" t="str">
        <f t="shared" si="2"/>
        <v>38_03_14_2026_FGF_OR_15_2</v>
      </c>
      <c r="F39" s="13">
        <v>245.5</v>
      </c>
      <c r="G39" s="13">
        <v>314.7</v>
      </c>
    </row>
    <row r="40" spans="1:8" x14ac:dyDescent="0.35">
      <c r="A40">
        <v>39</v>
      </c>
      <c r="B40" s="12">
        <v>46095</v>
      </c>
      <c r="C40" t="s">
        <v>155</v>
      </c>
      <c r="D40" t="str">
        <f t="shared" si="0"/>
        <v>39-03-14-2026-FGF-OR-15-3</v>
      </c>
      <c r="E40" t="str">
        <f t="shared" si="2"/>
        <v>39_03_14_2026_FGF_OR_15_3</v>
      </c>
      <c r="F40" s="13">
        <v>192.7</v>
      </c>
      <c r="G40" s="13">
        <v>250.4</v>
      </c>
    </row>
    <row r="41" spans="1:8" x14ac:dyDescent="0.35">
      <c r="A41">
        <v>40</v>
      </c>
      <c r="B41" s="12">
        <v>46095</v>
      </c>
      <c r="C41" t="s">
        <v>156</v>
      </c>
      <c r="D41" t="str">
        <f t="shared" si="0"/>
        <v>40-03-14-2026-FGF-OR-25-1</v>
      </c>
      <c r="E41" t="str">
        <f t="shared" si="2"/>
        <v>40_03_14_2026_FGF_OR_25_1</v>
      </c>
      <c r="F41" s="13">
        <v>225.5</v>
      </c>
      <c r="G41" s="13">
        <v>729.8</v>
      </c>
    </row>
    <row r="42" spans="1:8" x14ac:dyDescent="0.35">
      <c r="A42">
        <v>41</v>
      </c>
      <c r="B42" s="12">
        <v>46095</v>
      </c>
      <c r="C42" t="s">
        <v>157</v>
      </c>
      <c r="D42" t="str">
        <f t="shared" si="0"/>
        <v>41-03-14-2026-FGF-OR-25-2</v>
      </c>
      <c r="E42" t="str">
        <f t="shared" si="2"/>
        <v>41_03_14_2026_FGF_OR_25_2</v>
      </c>
      <c r="F42" s="13">
        <v>258.60000000000002</v>
      </c>
      <c r="G42" s="13">
        <v>416.3</v>
      </c>
    </row>
    <row r="43" spans="1:8" x14ac:dyDescent="0.35">
      <c r="A43">
        <v>42</v>
      </c>
      <c r="B43" s="12">
        <v>46095</v>
      </c>
      <c r="C43" t="s">
        <v>158</v>
      </c>
      <c r="D43" t="str">
        <f t="shared" si="0"/>
        <v>42-03-14-2026-FGF-OR-25-3</v>
      </c>
      <c r="E43" t="str">
        <f t="shared" si="2"/>
        <v>42_03_14_2026_FGF_OR_25_3</v>
      </c>
      <c r="F43" s="13">
        <v>237.4</v>
      </c>
      <c r="G43" s="13">
        <v>171.4</v>
      </c>
    </row>
    <row r="44" spans="1:8" x14ac:dyDescent="0.35">
      <c r="A44">
        <v>43</v>
      </c>
      <c r="B44" s="12">
        <v>46096</v>
      </c>
      <c r="C44" t="s">
        <v>165</v>
      </c>
      <c r="D44" t="str">
        <f t="shared" si="0"/>
        <v>43-03-15-2026-FGF-RO-15-1</v>
      </c>
      <c r="E44" t="str">
        <f t="shared" si="2"/>
        <v>43_03_15_2026_FGF_RO_15_1</v>
      </c>
      <c r="F44" s="13">
        <v>142.69999999999999</v>
      </c>
      <c r="G44" s="13">
        <v>141.19999999999999</v>
      </c>
    </row>
    <row r="45" spans="1:8" x14ac:dyDescent="0.35">
      <c r="A45">
        <v>44</v>
      </c>
      <c r="B45" s="12">
        <v>46096</v>
      </c>
      <c r="C45" t="s">
        <v>166</v>
      </c>
      <c r="D45" t="str">
        <f t="shared" si="0"/>
        <v>44-03-15-2026-FGF-RO-15-2</v>
      </c>
      <c r="E45" t="str">
        <f t="shared" si="2"/>
        <v>44_03_15_2026_FGF_RO_15_2</v>
      </c>
      <c r="F45" s="13">
        <v>144.19999999999999</v>
      </c>
      <c r="G45" s="13">
        <v>139.30000000000001</v>
      </c>
    </row>
    <row r="46" spans="1:8" x14ac:dyDescent="0.35">
      <c r="A46">
        <v>45</v>
      </c>
      <c r="B46" s="12">
        <v>46096</v>
      </c>
      <c r="C46" t="s">
        <v>167</v>
      </c>
      <c r="D46" t="str">
        <f t="shared" si="0"/>
        <v>45-03-15-2026-FGF-RO-15-3</v>
      </c>
      <c r="E46" t="str">
        <f t="shared" si="2"/>
        <v>45_03_15_2026_FGF_RO_15_3</v>
      </c>
      <c r="F46" s="13">
        <v>146.69999999999999</v>
      </c>
      <c r="G46" s="13">
        <v>176.9</v>
      </c>
    </row>
    <row r="47" spans="1:8" x14ac:dyDescent="0.35">
      <c r="A47">
        <v>46</v>
      </c>
      <c r="B47" s="12">
        <v>46096</v>
      </c>
      <c r="C47" t="s">
        <v>168</v>
      </c>
      <c r="D47" t="str">
        <f t="shared" si="0"/>
        <v>46-03-15-2026-FGF-RO-25-1</v>
      </c>
      <c r="E47" t="str">
        <f t="shared" si="2"/>
        <v>46_03_15_2026_FGF_RO_25_1</v>
      </c>
      <c r="F47" s="13">
        <v>223.8</v>
      </c>
      <c r="G47" s="13">
        <v>293.39999999999998</v>
      </c>
    </row>
    <row r="48" spans="1:8" x14ac:dyDescent="0.35">
      <c r="A48">
        <v>47</v>
      </c>
      <c r="B48" s="12">
        <v>46096</v>
      </c>
      <c r="C48" t="s">
        <v>169</v>
      </c>
      <c r="D48" t="str">
        <f t="shared" si="0"/>
        <v>47-03-15-2026-FGF-RO-25-2</v>
      </c>
      <c r="E48" t="str">
        <f t="shared" si="2"/>
        <v>47_03_15_2026_FGF_RO_25_2</v>
      </c>
      <c r="F48" s="13">
        <v>153.69999999999999</v>
      </c>
      <c r="G48" s="13">
        <v>146.6</v>
      </c>
    </row>
    <row r="49" spans="1:7" x14ac:dyDescent="0.35">
      <c r="A49">
        <v>48</v>
      </c>
      <c r="B49" s="12">
        <v>46096</v>
      </c>
      <c r="C49" t="s">
        <v>170</v>
      </c>
      <c r="D49" t="str">
        <f t="shared" si="0"/>
        <v>48-03-15-2026-FGF-RO-25-3</v>
      </c>
      <c r="E49" t="str">
        <f t="shared" si="2"/>
        <v>48_03_15_2026_FGF_RO_25_3</v>
      </c>
      <c r="F49" s="13">
        <v>250.2</v>
      </c>
      <c r="G49" s="13">
        <v>204.5</v>
      </c>
    </row>
    <row r="50" spans="1:7" x14ac:dyDescent="0.35">
      <c r="A50">
        <v>49</v>
      </c>
      <c r="B50" s="12">
        <v>46099</v>
      </c>
      <c r="C50" t="s">
        <v>176</v>
      </c>
      <c r="D50" t="str">
        <f t="shared" si="0"/>
        <v>49-03-18-2026-FGF-SOD-15-1</v>
      </c>
      <c r="E50" t="str">
        <f t="shared" si="2"/>
        <v>49_03_18_2026_FGF_SOD_15_1</v>
      </c>
      <c r="F50" s="13">
        <v>483.1</v>
      </c>
      <c r="G50" s="13">
        <v>412.8</v>
      </c>
    </row>
    <row r="51" spans="1:7" x14ac:dyDescent="0.35">
      <c r="A51">
        <v>50</v>
      </c>
      <c r="B51" s="12">
        <v>46099</v>
      </c>
      <c r="C51" t="s">
        <v>177</v>
      </c>
      <c r="D51" t="str">
        <f t="shared" si="0"/>
        <v>50-03-18-2026-FGF-SOD-15-2</v>
      </c>
      <c r="E51" t="str">
        <f t="shared" si="2"/>
        <v>50_03_18_2026_FGF_SOD_15_2</v>
      </c>
      <c r="F51" s="13">
        <v>496.8</v>
      </c>
      <c r="G51" s="13">
        <v>590.79999999999995</v>
      </c>
    </row>
    <row r="52" spans="1:7" x14ac:dyDescent="0.35">
      <c r="A52">
        <v>51</v>
      </c>
      <c r="B52" s="12">
        <v>46099</v>
      </c>
      <c r="C52" t="s">
        <v>178</v>
      </c>
      <c r="D52" t="str">
        <f t="shared" si="0"/>
        <v>51-03-18-2026-FGF-SOD-15-3</v>
      </c>
      <c r="E52" t="str">
        <f t="shared" si="2"/>
        <v>51_03_18_2026_FGF_SOD_15_3</v>
      </c>
      <c r="F52" s="13">
        <v>478</v>
      </c>
      <c r="G52" s="13">
        <v>470.9</v>
      </c>
    </row>
    <row r="53" spans="1:7" x14ac:dyDescent="0.35">
      <c r="A53">
        <v>52</v>
      </c>
      <c r="B53" s="12">
        <v>46099</v>
      </c>
      <c r="C53" t="s">
        <v>179</v>
      </c>
      <c r="D53" t="str">
        <f t="shared" si="0"/>
        <v>52-03-18-2026-FGF-SOD-25-1</v>
      </c>
      <c r="E53" t="str">
        <f t="shared" si="2"/>
        <v>52_03_18_2026_FGF_SOD_25_1</v>
      </c>
      <c r="F53" s="13">
        <v>494.6</v>
      </c>
      <c r="G53" s="13">
        <v>563.9</v>
      </c>
    </row>
    <row r="54" spans="1:7" x14ac:dyDescent="0.35">
      <c r="A54">
        <v>53</v>
      </c>
      <c r="B54" s="12">
        <v>46099</v>
      </c>
      <c r="C54" t="s">
        <v>180</v>
      </c>
      <c r="D54" t="str">
        <f t="shared" si="0"/>
        <v>53-03-18-2026-FGF-SOD-25-2</v>
      </c>
      <c r="E54" t="str">
        <f t="shared" si="2"/>
        <v>53_03_18_2026_FGF_SOD_25_2</v>
      </c>
      <c r="F54" s="13">
        <v>506</v>
      </c>
      <c r="G54" s="13">
        <v>517.4</v>
      </c>
    </row>
    <row r="55" spans="1:7" x14ac:dyDescent="0.35">
      <c r="A55">
        <v>54</v>
      </c>
      <c r="B55" s="12">
        <v>46099</v>
      </c>
      <c r="C55" t="s">
        <v>181</v>
      </c>
      <c r="D55" t="str">
        <f t="shared" si="0"/>
        <v>54-03-18-2026-FGF-SOD-25-3</v>
      </c>
      <c r="E55" t="str">
        <f t="shared" si="2"/>
        <v>54_03_18_2026_FGF_SOD_25_3</v>
      </c>
      <c r="F55" s="13">
        <v>460.1</v>
      </c>
      <c r="G55" s="13">
        <v>466.4</v>
      </c>
    </row>
    <row r="56" spans="1:7" x14ac:dyDescent="0.35">
      <c r="A56">
        <v>55</v>
      </c>
      <c r="B56" s="12">
        <v>46103</v>
      </c>
      <c r="C56" t="s">
        <v>237</v>
      </c>
      <c r="D56" t="str">
        <f t="shared" si="0"/>
        <v>55-03-22-2026-FGF-CO-15-1</v>
      </c>
      <c r="E56" t="str">
        <f t="shared" si="2"/>
        <v>55_03_22_2026_FGF_CO_15_1</v>
      </c>
      <c r="F56" s="13">
        <v>248.6</v>
      </c>
      <c r="G56" s="13">
        <v>238.5</v>
      </c>
    </row>
    <row r="57" spans="1:7" x14ac:dyDescent="0.35">
      <c r="A57">
        <v>56</v>
      </c>
      <c r="B57" s="12">
        <v>46103</v>
      </c>
      <c r="C57" t="s">
        <v>238</v>
      </c>
      <c r="D57" t="str">
        <f t="shared" si="0"/>
        <v>56-03-22-2026-FGF-CO-15-2</v>
      </c>
      <c r="E57" t="str">
        <f t="shared" si="2"/>
        <v>56_03_22_2026_FGF_CO_15_2</v>
      </c>
      <c r="F57" s="13">
        <v>213.7</v>
      </c>
      <c r="G57" s="13">
        <v>197.8</v>
      </c>
    </row>
    <row r="58" spans="1:7" x14ac:dyDescent="0.35">
      <c r="A58">
        <v>57</v>
      </c>
      <c r="B58" s="12">
        <v>46103</v>
      </c>
      <c r="C58" t="s">
        <v>239</v>
      </c>
      <c r="D58" t="str">
        <f t="shared" si="0"/>
        <v>57-03-22-2026-FGF-CO-15-3</v>
      </c>
      <c r="E58" t="str">
        <f t="shared" si="2"/>
        <v>57_03_22_2026_FGF_CO_15_3</v>
      </c>
      <c r="F58" s="13">
        <v>178.1</v>
      </c>
      <c r="G58" s="13">
        <v>168.8</v>
      </c>
    </row>
    <row r="59" spans="1:7" x14ac:dyDescent="0.35">
      <c r="A59">
        <v>58</v>
      </c>
      <c r="B59" s="12">
        <v>46103</v>
      </c>
      <c r="C59" t="s">
        <v>240</v>
      </c>
      <c r="D59" t="str">
        <f t="shared" si="0"/>
        <v>58-03-22-2026-FGF-CO-25-1</v>
      </c>
      <c r="E59" t="str">
        <f t="shared" si="2"/>
        <v>58_03_22_2026_FGF_CO_25_1</v>
      </c>
      <c r="F59" s="13">
        <v>275.5</v>
      </c>
      <c r="G59" s="13">
        <v>294.7</v>
      </c>
    </row>
    <row r="60" spans="1:7" x14ac:dyDescent="0.35">
      <c r="A60">
        <v>59</v>
      </c>
      <c r="B60" s="12">
        <v>46103</v>
      </c>
      <c r="C60" t="s">
        <v>241</v>
      </c>
      <c r="D60" t="str">
        <f t="shared" si="0"/>
        <v>59-03-22-2026-FGF-CO-25-2</v>
      </c>
      <c r="E60" t="str">
        <f t="shared" si="2"/>
        <v>59_03_22_2026_FGF_CO_25_2</v>
      </c>
      <c r="F60" s="13">
        <v>183.3</v>
      </c>
      <c r="G60" s="13">
        <v>174.8</v>
      </c>
    </row>
    <row r="61" spans="1:7" x14ac:dyDescent="0.35">
      <c r="A61">
        <v>60</v>
      </c>
      <c r="B61" s="12">
        <v>46103</v>
      </c>
      <c r="C61" t="s">
        <v>242</v>
      </c>
      <c r="D61" t="str">
        <f t="shared" si="0"/>
        <v>60-03-22-2026-FGF-CO-25-3</v>
      </c>
      <c r="E61" t="str">
        <f t="shared" si="2"/>
        <v>60_03_22_2026_FGF_CO_25_3</v>
      </c>
      <c r="F61" s="13">
        <v>248.5</v>
      </c>
      <c r="G61" s="13">
        <v>263.3</v>
      </c>
    </row>
    <row r="62" spans="1:7" x14ac:dyDescent="0.35">
      <c r="A62">
        <v>61</v>
      </c>
      <c r="B62" s="12">
        <v>46106</v>
      </c>
      <c r="C62" t="s">
        <v>189</v>
      </c>
      <c r="D62" t="str">
        <f t="shared" si="0"/>
        <v>61-03-25-2026-FGF-FBW-15-1</v>
      </c>
      <c r="E62" t="str">
        <f t="shared" si="2"/>
        <v>61_03_25_2026_FGF_FBW_15_1</v>
      </c>
      <c r="F62" s="13">
        <v>284</v>
      </c>
      <c r="G62" s="13">
        <v>277.39999999999998</v>
      </c>
    </row>
    <row r="63" spans="1:7" x14ac:dyDescent="0.35">
      <c r="A63">
        <v>62</v>
      </c>
      <c r="B63" s="12">
        <v>46106</v>
      </c>
      <c r="C63" t="s">
        <v>190</v>
      </c>
      <c r="D63" t="str">
        <f t="shared" si="0"/>
        <v>62-03-25-2026-FGF-FBW-15-2</v>
      </c>
      <c r="E63" t="str">
        <f t="shared" si="2"/>
        <v>62_03_25_2026_FGF_FBW_15_2</v>
      </c>
      <c r="F63" s="13">
        <v>286.60000000000002</v>
      </c>
      <c r="G63" s="13">
        <v>238.6</v>
      </c>
    </row>
    <row r="64" spans="1:7" x14ac:dyDescent="0.35">
      <c r="A64">
        <v>63</v>
      </c>
      <c r="B64" s="12">
        <v>46106</v>
      </c>
      <c r="C64" t="s">
        <v>191</v>
      </c>
      <c r="D64" t="str">
        <f t="shared" si="0"/>
        <v>63-03-25-2026-FGF-FBW-15-3</v>
      </c>
      <c r="E64" t="str">
        <f t="shared" si="2"/>
        <v>63_03_25_2026_FGF_FBW_15_3</v>
      </c>
      <c r="F64" s="13">
        <v>195.9</v>
      </c>
      <c r="G64" s="13">
        <v>184.1</v>
      </c>
    </row>
    <row r="65" spans="1:7" x14ac:dyDescent="0.35">
      <c r="A65">
        <v>64</v>
      </c>
      <c r="B65" s="12">
        <v>46106</v>
      </c>
      <c r="C65" t="s">
        <v>192</v>
      </c>
      <c r="D65" t="str">
        <f t="shared" si="0"/>
        <v>64-03-25-2026-FGF-FBW-25-1</v>
      </c>
      <c r="E65" t="str">
        <f t="shared" si="2"/>
        <v>64_03_25_2026_FGF_FBW_25_1</v>
      </c>
      <c r="F65" s="13">
        <v>175.7</v>
      </c>
      <c r="G65" s="13">
        <v>170.7</v>
      </c>
    </row>
    <row r="66" spans="1:7" x14ac:dyDescent="0.35">
      <c r="A66">
        <v>65</v>
      </c>
      <c r="B66" s="12">
        <v>46106</v>
      </c>
      <c r="C66" t="s">
        <v>193</v>
      </c>
      <c r="D66" t="str">
        <f t="shared" si="0"/>
        <v>65-03-25-2026-FGF-FBW-25-2</v>
      </c>
      <c r="E66" t="str">
        <f t="shared" si="2"/>
        <v>65_03_25_2026_FGF_FBW_25_2</v>
      </c>
      <c r="F66" s="13">
        <v>112.4</v>
      </c>
      <c r="G66" s="13">
        <v>115.6</v>
      </c>
    </row>
    <row r="67" spans="1:7" x14ac:dyDescent="0.35">
      <c r="A67">
        <v>66</v>
      </c>
      <c r="B67" s="12">
        <v>46106</v>
      </c>
      <c r="C67" t="s">
        <v>194</v>
      </c>
      <c r="D67" t="str">
        <f t="shared" ref="D67:D73" si="3">CONCATENATE(ROW(B67)-1,"-",TEXT(B67, "mm-dd-yyyy"),"-",C67)</f>
        <v>66-03-25-2026-FGF-FBW-25-3</v>
      </c>
      <c r="E67" t="str">
        <f t="shared" ref="E67:E73" si="4">SUBSTITUTE(D67,"-","_")</f>
        <v>66_03_25_2026_FGF_FBW_25_3</v>
      </c>
      <c r="F67" s="13">
        <v>187</v>
      </c>
      <c r="G67" s="13">
        <v>183</v>
      </c>
    </row>
    <row r="68" spans="1:7" x14ac:dyDescent="0.35">
      <c r="A68">
        <v>67</v>
      </c>
      <c r="B68" s="12">
        <v>46107</v>
      </c>
      <c r="C68" t="s">
        <v>195</v>
      </c>
      <c r="D68" t="str">
        <f t="shared" si="3"/>
        <v>67-03-26-2026-FGF-SUN-15-1</v>
      </c>
      <c r="E68" t="str">
        <f t="shared" si="4"/>
        <v>67_03_26_2026_FGF_SUN_15_1</v>
      </c>
      <c r="F68" s="13">
        <v>135.69999999999999</v>
      </c>
      <c r="G68" s="13">
        <v>175.9</v>
      </c>
    </row>
    <row r="69" spans="1:7" x14ac:dyDescent="0.35">
      <c r="A69">
        <v>68</v>
      </c>
      <c r="B69" s="12">
        <v>46107</v>
      </c>
      <c r="C69" t="s">
        <v>196</v>
      </c>
      <c r="D69" t="str">
        <f t="shared" si="3"/>
        <v>68-03-26-2026-FGF-SUN-15-2</v>
      </c>
      <c r="E69" t="str">
        <f t="shared" si="4"/>
        <v>68_03_26_2026_FGF_SUN_15_2</v>
      </c>
      <c r="F69" s="13">
        <v>126.2</v>
      </c>
      <c r="G69" s="13">
        <v>112.8</v>
      </c>
    </row>
    <row r="70" spans="1:7" x14ac:dyDescent="0.35">
      <c r="A70">
        <v>69</v>
      </c>
      <c r="B70" s="12">
        <v>46107</v>
      </c>
      <c r="C70" t="s">
        <v>197</v>
      </c>
      <c r="D70" t="str">
        <f t="shared" si="3"/>
        <v>69-03-26-2026-FGF-SUN-15-3</v>
      </c>
      <c r="E70" t="str">
        <f t="shared" si="4"/>
        <v>69_03_26_2026_FGF_SUN_15_3</v>
      </c>
      <c r="F70" s="13">
        <v>107.4</v>
      </c>
      <c r="G70" s="13">
        <v>102</v>
      </c>
    </row>
    <row r="71" spans="1:7" x14ac:dyDescent="0.35">
      <c r="A71">
        <v>70</v>
      </c>
      <c r="B71" s="12">
        <v>46107</v>
      </c>
      <c r="C71" t="s">
        <v>198</v>
      </c>
      <c r="D71" t="str">
        <f t="shared" si="3"/>
        <v>70-03-26-2026-FGF-SUN-25-1</v>
      </c>
      <c r="E71" t="str">
        <f t="shared" si="4"/>
        <v>70_03_26_2026_FGF_SUN_25_1</v>
      </c>
      <c r="F71" s="13">
        <v>159.80000000000001</v>
      </c>
      <c r="G71" s="13">
        <v>149.4</v>
      </c>
    </row>
    <row r="72" spans="1:7" x14ac:dyDescent="0.35">
      <c r="A72">
        <v>71</v>
      </c>
      <c r="B72" s="12">
        <v>46107</v>
      </c>
      <c r="C72" t="s">
        <v>199</v>
      </c>
      <c r="D72" t="str">
        <f t="shared" si="3"/>
        <v>71-03-26-2026-FGF-SUN-25-2</v>
      </c>
      <c r="E72" t="str">
        <f t="shared" si="4"/>
        <v>71_03_26_2026_FGF_SUN_25_2</v>
      </c>
      <c r="F72" s="13">
        <v>140.5</v>
      </c>
      <c r="G72" s="13">
        <v>129.4</v>
      </c>
    </row>
    <row r="73" spans="1:7" x14ac:dyDescent="0.35">
      <c r="A73">
        <v>72</v>
      </c>
      <c r="B73" s="12">
        <v>46107</v>
      </c>
      <c r="C73" t="s">
        <v>200</v>
      </c>
      <c r="D73" t="str">
        <f t="shared" si="3"/>
        <v>72-03-26-2026-FGF-SUN-25-3</v>
      </c>
      <c r="E73" t="str">
        <f t="shared" si="4"/>
        <v>72_03_26_2026_FGF_SUN_25_3</v>
      </c>
      <c r="F73" s="13">
        <v>189.8</v>
      </c>
      <c r="G73" s="13">
        <v>176.5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D1671-150A-431B-9802-17D2A2E7407A}">
  <dimension ref="A1:G31"/>
  <sheetViews>
    <sheetView workbookViewId="0">
      <selection activeCell="E17" sqref="E17:E18"/>
    </sheetView>
  </sheetViews>
  <sheetFormatPr defaultRowHeight="14.5" x14ac:dyDescent="0.35"/>
  <cols>
    <col min="1" max="1" width="21.90625" customWidth="1"/>
    <col min="2" max="2" width="31.26953125" bestFit="1" customWidth="1"/>
    <col min="3" max="3" width="15" bestFit="1" customWidth="1"/>
    <col min="4" max="5" width="15" customWidth="1"/>
  </cols>
  <sheetData>
    <row r="1" spans="1:7" x14ac:dyDescent="0.35">
      <c r="A1" t="s">
        <v>134</v>
      </c>
      <c r="B1" t="s">
        <v>64</v>
      </c>
      <c r="C1" t="s">
        <v>65</v>
      </c>
      <c r="D1" t="s">
        <v>67</v>
      </c>
      <c r="E1" t="s">
        <v>131</v>
      </c>
      <c r="F1" t="s">
        <v>66</v>
      </c>
      <c r="G1" t="s">
        <v>92</v>
      </c>
    </row>
    <row r="2" spans="1:7" x14ac:dyDescent="0.35">
      <c r="A2" t="s">
        <v>135</v>
      </c>
      <c r="B2" t="s">
        <v>73</v>
      </c>
      <c r="C2" s="4">
        <v>45831</v>
      </c>
      <c r="D2" t="s">
        <v>68</v>
      </c>
      <c r="G2" t="s">
        <v>93</v>
      </c>
    </row>
    <row r="3" spans="1:7" x14ac:dyDescent="0.35">
      <c r="A3" t="s">
        <v>136</v>
      </c>
      <c r="B3" t="s">
        <v>72</v>
      </c>
      <c r="C3" s="4">
        <v>45831</v>
      </c>
      <c r="D3" t="s">
        <v>68</v>
      </c>
      <c r="G3" t="s">
        <v>93</v>
      </c>
    </row>
    <row r="4" spans="1:7" x14ac:dyDescent="0.35">
      <c r="A4" t="s">
        <v>137</v>
      </c>
      <c r="B4" t="s">
        <v>75</v>
      </c>
      <c r="C4" s="4">
        <v>45831</v>
      </c>
      <c r="D4" t="s">
        <v>68</v>
      </c>
      <c r="G4" t="s">
        <v>94</v>
      </c>
    </row>
    <row r="5" spans="1:7" x14ac:dyDescent="0.35">
      <c r="A5" t="s">
        <v>149</v>
      </c>
      <c r="B5" t="s">
        <v>75</v>
      </c>
      <c r="C5" s="4">
        <v>45831</v>
      </c>
      <c r="D5" t="s">
        <v>68</v>
      </c>
      <c r="G5" t="s">
        <v>94</v>
      </c>
    </row>
    <row r="6" spans="1:7" x14ac:dyDescent="0.35">
      <c r="A6" t="s">
        <v>138</v>
      </c>
      <c r="B6" t="s">
        <v>74</v>
      </c>
      <c r="C6" s="4">
        <v>45831</v>
      </c>
      <c r="D6" t="s">
        <v>68</v>
      </c>
    </row>
    <row r="7" spans="1:7" x14ac:dyDescent="0.35">
      <c r="A7" t="s">
        <v>147</v>
      </c>
      <c r="B7" t="s">
        <v>74</v>
      </c>
      <c r="C7" s="4">
        <v>45831</v>
      </c>
      <c r="D7" t="s">
        <v>68</v>
      </c>
    </row>
    <row r="8" spans="1:7" x14ac:dyDescent="0.35">
      <c r="A8" t="s">
        <v>151</v>
      </c>
      <c r="B8" t="s">
        <v>76</v>
      </c>
      <c r="C8" s="4">
        <v>45831</v>
      </c>
      <c r="D8" t="s">
        <v>68</v>
      </c>
      <c r="G8" t="s">
        <v>94</v>
      </c>
    </row>
    <row r="9" spans="1:7" x14ac:dyDescent="0.35">
      <c r="A9" t="s">
        <v>152</v>
      </c>
      <c r="B9" t="s">
        <v>77</v>
      </c>
      <c r="C9" s="4">
        <v>45831</v>
      </c>
      <c r="D9" t="s">
        <v>68</v>
      </c>
    </row>
    <row r="10" spans="1:7" x14ac:dyDescent="0.35">
      <c r="A10" t="s">
        <v>139</v>
      </c>
      <c r="B10" t="s">
        <v>90</v>
      </c>
      <c r="C10" s="4">
        <v>45857</v>
      </c>
      <c r="D10" t="s">
        <v>69</v>
      </c>
    </row>
    <row r="11" spans="1:7" x14ac:dyDescent="0.35">
      <c r="A11" t="s">
        <v>140</v>
      </c>
      <c r="B11" t="s">
        <v>91</v>
      </c>
      <c r="C11" s="4">
        <v>45857</v>
      </c>
      <c r="D11" t="s">
        <v>69</v>
      </c>
    </row>
    <row r="12" spans="1:7" x14ac:dyDescent="0.35">
      <c r="A12" t="s">
        <v>141</v>
      </c>
      <c r="B12" t="s">
        <v>72</v>
      </c>
      <c r="C12" s="4">
        <v>45947</v>
      </c>
      <c r="D12" t="s">
        <v>70</v>
      </c>
    </row>
    <row r="13" spans="1:7" x14ac:dyDescent="0.35">
      <c r="A13" t="s">
        <v>142</v>
      </c>
      <c r="B13" t="s">
        <v>73</v>
      </c>
      <c r="C13" s="4">
        <v>45947</v>
      </c>
      <c r="D13" t="s">
        <v>70</v>
      </c>
    </row>
    <row r="14" spans="1:7" x14ac:dyDescent="0.35">
      <c r="A14" t="s">
        <v>143</v>
      </c>
      <c r="B14" t="s">
        <v>74</v>
      </c>
      <c r="C14" s="4">
        <v>45947</v>
      </c>
      <c r="D14" t="s">
        <v>70</v>
      </c>
    </row>
    <row r="15" spans="1:7" x14ac:dyDescent="0.35">
      <c r="A15" t="s">
        <v>144</v>
      </c>
      <c r="B15" t="s">
        <v>75</v>
      </c>
      <c r="C15" s="4">
        <v>45947</v>
      </c>
      <c r="D15" t="s">
        <v>70</v>
      </c>
      <c r="G15" t="s">
        <v>95</v>
      </c>
    </row>
    <row r="16" spans="1:7" x14ac:dyDescent="0.35">
      <c r="A16" t="s">
        <v>150</v>
      </c>
      <c r="B16" t="s">
        <v>76</v>
      </c>
      <c r="C16" s="4">
        <v>45947</v>
      </c>
      <c r="D16" t="s">
        <v>70</v>
      </c>
    </row>
    <row r="17" spans="1:4" x14ac:dyDescent="0.35">
      <c r="A17" t="s">
        <v>148</v>
      </c>
      <c r="B17" t="s">
        <v>77</v>
      </c>
      <c r="C17" s="4">
        <v>45947</v>
      </c>
      <c r="D17" t="s">
        <v>70</v>
      </c>
    </row>
    <row r="18" spans="1:4" x14ac:dyDescent="0.35">
      <c r="A18" t="s">
        <v>145</v>
      </c>
      <c r="B18" t="s">
        <v>78</v>
      </c>
      <c r="C18" s="4">
        <v>45954</v>
      </c>
      <c r="D18" t="s">
        <v>115</v>
      </c>
    </row>
    <row r="19" spans="1:4" x14ac:dyDescent="0.35">
      <c r="A19" t="s">
        <v>146</v>
      </c>
      <c r="B19" t="s">
        <v>79</v>
      </c>
      <c r="C19" s="4">
        <v>45954</v>
      </c>
      <c r="D19" t="s">
        <v>115</v>
      </c>
    </row>
    <row r="20" spans="1:4" x14ac:dyDescent="0.35">
      <c r="C20" s="4"/>
    </row>
    <row r="21" spans="1:4" x14ac:dyDescent="0.35">
      <c r="A21" t="s">
        <v>172</v>
      </c>
      <c r="C21" s="4"/>
    </row>
    <row r="22" spans="1:4" x14ac:dyDescent="0.35">
      <c r="B22" t="s">
        <v>84</v>
      </c>
      <c r="C22" s="4">
        <v>45954</v>
      </c>
      <c r="D22" t="s">
        <v>115</v>
      </c>
    </row>
    <row r="23" spans="1:4" x14ac:dyDescent="0.35">
      <c r="B23" t="s">
        <v>85</v>
      </c>
      <c r="C23" s="4">
        <v>45954</v>
      </c>
      <c r="D23" t="s">
        <v>71</v>
      </c>
    </row>
    <row r="24" spans="1:4" x14ac:dyDescent="0.35">
      <c r="B24" t="s">
        <v>86</v>
      </c>
      <c r="C24" s="4">
        <v>45954</v>
      </c>
      <c r="D24" t="s">
        <v>71</v>
      </c>
    </row>
    <row r="25" spans="1:4" x14ac:dyDescent="0.35">
      <c r="B25" t="s">
        <v>89</v>
      </c>
      <c r="C25" s="4">
        <v>45954</v>
      </c>
      <c r="D25" t="s">
        <v>71</v>
      </c>
    </row>
    <row r="26" spans="1:4" x14ac:dyDescent="0.35">
      <c r="B26" t="s">
        <v>88</v>
      </c>
      <c r="C26" s="4">
        <v>45954</v>
      </c>
      <c r="D26" t="s">
        <v>71</v>
      </c>
    </row>
    <row r="27" spans="1:4" x14ac:dyDescent="0.35">
      <c r="B27" t="s">
        <v>87</v>
      </c>
      <c r="C27" s="4">
        <v>45954</v>
      </c>
      <c r="D27" t="s">
        <v>71</v>
      </c>
    </row>
    <row r="28" spans="1:4" x14ac:dyDescent="0.35">
      <c r="B28" t="s">
        <v>80</v>
      </c>
      <c r="C28" s="4">
        <v>45947</v>
      </c>
      <c r="D28" t="s">
        <v>70</v>
      </c>
    </row>
    <row r="29" spans="1:4" x14ac:dyDescent="0.35">
      <c r="B29" t="s">
        <v>81</v>
      </c>
      <c r="C29" s="4">
        <v>45947</v>
      </c>
      <c r="D29" t="s">
        <v>70</v>
      </c>
    </row>
    <row r="30" spans="1:4" x14ac:dyDescent="0.35">
      <c r="B30" t="s">
        <v>82</v>
      </c>
      <c r="C30" s="4">
        <v>45947</v>
      </c>
      <c r="D30" t="s">
        <v>70</v>
      </c>
    </row>
    <row r="31" spans="1:4" x14ac:dyDescent="0.35">
      <c r="B31" t="s">
        <v>83</v>
      </c>
      <c r="C31" s="4">
        <v>45947</v>
      </c>
      <c r="D31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65DB-3416-4852-B573-96C6ABA2B1A8}">
  <dimension ref="A1:F27"/>
  <sheetViews>
    <sheetView topLeftCell="A13" workbookViewId="0">
      <selection activeCell="D28" sqref="D28"/>
    </sheetView>
  </sheetViews>
  <sheetFormatPr defaultRowHeight="14.5" x14ac:dyDescent="0.35"/>
  <cols>
    <col min="1" max="1" width="37" bestFit="1" customWidth="1"/>
    <col min="2" max="2" width="15" bestFit="1" customWidth="1"/>
    <col min="3" max="4" width="15" customWidth="1"/>
  </cols>
  <sheetData>
    <row r="1" spans="1:6" x14ac:dyDescent="0.35">
      <c r="A1" t="s">
        <v>64</v>
      </c>
      <c r="B1" t="s">
        <v>65</v>
      </c>
      <c r="C1" t="s">
        <v>67</v>
      </c>
      <c r="D1" t="s">
        <v>131</v>
      </c>
      <c r="E1" t="s">
        <v>66</v>
      </c>
      <c r="F1" t="s">
        <v>92</v>
      </c>
    </row>
    <row r="2" spans="1:6" x14ac:dyDescent="0.35">
      <c r="A2" t="s">
        <v>73</v>
      </c>
      <c r="B2" s="4">
        <v>45831</v>
      </c>
      <c r="C2" t="s">
        <v>68</v>
      </c>
      <c r="F2" t="s">
        <v>93</v>
      </c>
    </row>
    <row r="3" spans="1:6" x14ac:dyDescent="0.35">
      <c r="A3" t="s">
        <v>72</v>
      </c>
      <c r="B3" s="4">
        <v>45831</v>
      </c>
      <c r="C3" t="s">
        <v>68</v>
      </c>
      <c r="F3" t="s">
        <v>93</v>
      </c>
    </row>
    <row r="4" spans="1:6" x14ac:dyDescent="0.35">
      <c r="A4" t="s">
        <v>75</v>
      </c>
      <c r="B4" s="4">
        <v>45831</v>
      </c>
      <c r="C4" t="s">
        <v>68</v>
      </c>
      <c r="F4" t="s">
        <v>94</v>
      </c>
    </row>
    <row r="5" spans="1:6" x14ac:dyDescent="0.35">
      <c r="A5" t="s">
        <v>74</v>
      </c>
      <c r="B5" s="4">
        <v>45831</v>
      </c>
      <c r="C5" t="s">
        <v>68</v>
      </c>
    </row>
    <row r="6" spans="1:6" x14ac:dyDescent="0.35">
      <c r="A6" t="s">
        <v>76</v>
      </c>
      <c r="B6" s="4">
        <v>45831</v>
      </c>
      <c r="C6" t="s">
        <v>68</v>
      </c>
      <c r="F6" t="s">
        <v>94</v>
      </c>
    </row>
    <row r="7" spans="1:6" x14ac:dyDescent="0.35">
      <c r="A7" t="s">
        <v>77</v>
      </c>
      <c r="B7" s="4">
        <v>45831</v>
      </c>
      <c r="C7" t="s">
        <v>68</v>
      </c>
    </row>
    <row r="8" spans="1:6" x14ac:dyDescent="0.35">
      <c r="A8" t="s">
        <v>90</v>
      </c>
      <c r="B8" s="4">
        <v>45857</v>
      </c>
      <c r="C8" t="s">
        <v>69</v>
      </c>
    </row>
    <row r="9" spans="1:6" x14ac:dyDescent="0.35">
      <c r="A9" t="s">
        <v>91</v>
      </c>
      <c r="B9" s="4">
        <v>45857</v>
      </c>
      <c r="C9" t="s">
        <v>69</v>
      </c>
    </row>
    <row r="10" spans="1:6" x14ac:dyDescent="0.35">
      <c r="A10" t="s">
        <v>72</v>
      </c>
      <c r="B10" s="4">
        <v>45947</v>
      </c>
      <c r="C10" t="s">
        <v>70</v>
      </c>
    </row>
    <row r="11" spans="1:6" x14ac:dyDescent="0.35">
      <c r="A11" t="s">
        <v>73</v>
      </c>
      <c r="B11" s="4">
        <v>45947</v>
      </c>
      <c r="C11" t="s">
        <v>70</v>
      </c>
    </row>
    <row r="12" spans="1:6" x14ac:dyDescent="0.35">
      <c r="A12" t="s">
        <v>74</v>
      </c>
      <c r="B12" s="4">
        <v>45947</v>
      </c>
      <c r="C12" t="s">
        <v>70</v>
      </c>
    </row>
    <row r="13" spans="1:6" x14ac:dyDescent="0.35">
      <c r="A13" t="s">
        <v>75</v>
      </c>
      <c r="B13" s="4">
        <v>45947</v>
      </c>
      <c r="C13" t="s">
        <v>70</v>
      </c>
      <c r="F13" t="s">
        <v>95</v>
      </c>
    </row>
    <row r="14" spans="1:6" x14ac:dyDescent="0.35">
      <c r="A14" t="s">
        <v>76</v>
      </c>
      <c r="B14" s="4">
        <v>45947</v>
      </c>
      <c r="C14" t="s">
        <v>70</v>
      </c>
    </row>
    <row r="15" spans="1:6" x14ac:dyDescent="0.35">
      <c r="A15" t="s">
        <v>77</v>
      </c>
      <c r="B15" s="4">
        <v>45947</v>
      </c>
      <c r="C15" t="s">
        <v>70</v>
      </c>
    </row>
    <row r="16" spans="1:6" x14ac:dyDescent="0.35">
      <c r="A16" t="s">
        <v>78</v>
      </c>
      <c r="B16" s="4">
        <v>45954</v>
      </c>
      <c r="C16" t="s">
        <v>115</v>
      </c>
    </row>
    <row r="17" spans="1:3" x14ac:dyDescent="0.35">
      <c r="A17" t="s">
        <v>79</v>
      </c>
      <c r="B17" s="4">
        <v>45954</v>
      </c>
      <c r="C17" t="s">
        <v>115</v>
      </c>
    </row>
    <row r="18" spans="1:3" x14ac:dyDescent="0.35">
      <c r="A18" t="s">
        <v>84</v>
      </c>
      <c r="B18" s="4">
        <v>45954</v>
      </c>
      <c r="C18" t="s">
        <v>115</v>
      </c>
    </row>
    <row r="19" spans="1:3" x14ac:dyDescent="0.35">
      <c r="A19" t="s">
        <v>85</v>
      </c>
      <c r="B19" s="4">
        <v>45954</v>
      </c>
      <c r="C19" t="s">
        <v>71</v>
      </c>
    </row>
    <row r="20" spans="1:3" x14ac:dyDescent="0.35">
      <c r="A20" t="s">
        <v>86</v>
      </c>
      <c r="B20" s="4">
        <v>45954</v>
      </c>
      <c r="C20" t="s">
        <v>71</v>
      </c>
    </row>
    <row r="21" spans="1:3" x14ac:dyDescent="0.35">
      <c r="A21" t="s">
        <v>89</v>
      </c>
      <c r="B21" s="4">
        <v>45954</v>
      </c>
      <c r="C21" t="s">
        <v>71</v>
      </c>
    </row>
    <row r="22" spans="1:3" x14ac:dyDescent="0.35">
      <c r="A22" t="s">
        <v>88</v>
      </c>
      <c r="B22" s="4">
        <v>45954</v>
      </c>
      <c r="C22" t="s">
        <v>71</v>
      </c>
    </row>
    <row r="23" spans="1:3" x14ac:dyDescent="0.35">
      <c r="A23" t="s">
        <v>87</v>
      </c>
      <c r="B23" s="4">
        <v>45954</v>
      </c>
      <c r="C23" t="s">
        <v>71</v>
      </c>
    </row>
    <row r="24" spans="1:3" x14ac:dyDescent="0.35">
      <c r="A24" t="s">
        <v>80</v>
      </c>
      <c r="B24" s="4">
        <v>45947</v>
      </c>
      <c r="C24" t="s">
        <v>70</v>
      </c>
    </row>
    <row r="25" spans="1:3" x14ac:dyDescent="0.35">
      <c r="A25" t="s">
        <v>81</v>
      </c>
      <c r="B25" s="4">
        <v>45947</v>
      </c>
      <c r="C25" t="s">
        <v>70</v>
      </c>
    </row>
    <row r="26" spans="1:3" x14ac:dyDescent="0.35">
      <c r="A26" t="s">
        <v>82</v>
      </c>
      <c r="B26" s="4">
        <v>45947</v>
      </c>
      <c r="C26" t="s">
        <v>70</v>
      </c>
    </row>
    <row r="27" spans="1:3" x14ac:dyDescent="0.35">
      <c r="A27" t="s">
        <v>83</v>
      </c>
      <c r="B27" s="4">
        <v>45947</v>
      </c>
      <c r="C2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ED8B-9D6A-4DCD-8C9F-6E04025006A7}">
  <dimension ref="A1:K15"/>
  <sheetViews>
    <sheetView topLeftCell="W1" workbookViewId="0">
      <selection activeCell="A15" sqref="A15"/>
    </sheetView>
  </sheetViews>
  <sheetFormatPr defaultRowHeight="14.5" x14ac:dyDescent="0.35"/>
  <cols>
    <col min="1" max="1" width="18.36328125" bestFit="1" customWidth="1"/>
    <col min="2" max="2" width="10.26953125" customWidth="1"/>
    <col min="3" max="3" width="8.81640625" bestFit="1" customWidth="1"/>
    <col min="4" max="4" width="9.453125" bestFit="1" customWidth="1"/>
    <col min="5" max="5" width="10.26953125" bestFit="1" customWidth="1"/>
  </cols>
  <sheetData>
    <row r="1" spans="1:11" x14ac:dyDescent="0.35">
      <c r="A1" t="s">
        <v>116</v>
      </c>
      <c r="B1" t="s">
        <v>32</v>
      </c>
      <c r="C1" t="s">
        <v>33</v>
      </c>
      <c r="D1" t="s">
        <v>34</v>
      </c>
      <c r="E1" t="s">
        <v>44</v>
      </c>
      <c r="F1" t="s">
        <v>45</v>
      </c>
      <c r="G1" t="s">
        <v>113</v>
      </c>
      <c r="H1" t="s">
        <v>47</v>
      </c>
      <c r="I1" t="s">
        <v>46</v>
      </c>
      <c r="J1" t="s">
        <v>114</v>
      </c>
      <c r="K1" t="s">
        <v>113</v>
      </c>
    </row>
    <row r="2" spans="1:11" x14ac:dyDescent="0.35">
      <c r="A2">
        <v>1.1060000000000001</v>
      </c>
      <c r="B2">
        <v>657692</v>
      </c>
      <c r="C2">
        <v>132652</v>
      </c>
      <c r="D2" s="4">
        <v>46035</v>
      </c>
    </row>
    <row r="3" spans="1:11" x14ac:dyDescent="0.35">
      <c r="A3">
        <v>1.1060000000000001</v>
      </c>
      <c r="B3">
        <v>648202</v>
      </c>
      <c r="C3">
        <v>110470</v>
      </c>
      <c r="D3" s="4">
        <v>46035</v>
      </c>
    </row>
    <row r="4" spans="1:11" x14ac:dyDescent="0.35">
      <c r="A4">
        <v>1.1060000000000001</v>
      </c>
      <c r="B4">
        <v>665511</v>
      </c>
      <c r="C4">
        <v>111721</v>
      </c>
      <c r="D4" s="4">
        <v>46035</v>
      </c>
    </row>
    <row r="5" spans="1:11" x14ac:dyDescent="0.35">
      <c r="A5">
        <v>1.1060000000000001</v>
      </c>
      <c r="B5">
        <v>658318</v>
      </c>
      <c r="C5">
        <v>118142</v>
      </c>
      <c r="D5" s="4">
        <v>46035</v>
      </c>
    </row>
    <row r="6" spans="1:11" x14ac:dyDescent="0.35">
      <c r="A6">
        <v>1.1060000000000001</v>
      </c>
      <c r="B6">
        <v>652051</v>
      </c>
      <c r="C6">
        <v>113691</v>
      </c>
      <c r="D6" s="4">
        <v>46035</v>
      </c>
      <c r="E6">
        <f>AVERAGE(B2:B6)</f>
        <v>656354.80000000005</v>
      </c>
      <c r="F6">
        <f>_xlfn.STDEV.S(B2:B6)</f>
        <v>6604.337567084227</v>
      </c>
      <c r="G6">
        <f>MAX(B2:B6)-MIN(B2:B6)</f>
        <v>17309</v>
      </c>
      <c r="H6">
        <f>AVERAGE(C2:C6)</f>
        <v>117335.2</v>
      </c>
      <c r="I6">
        <f>_xlfn.STDEV.S(C2:C6)</f>
        <v>9044.1375321254382</v>
      </c>
      <c r="J6">
        <f>E6/A6</f>
        <v>593449.18625678122</v>
      </c>
      <c r="K6">
        <f>G6/J6</f>
        <v>2.9166776871289733E-2</v>
      </c>
    </row>
    <row r="7" spans="1:11" x14ac:dyDescent="0.35">
      <c r="A7">
        <v>1</v>
      </c>
      <c r="B7">
        <v>538634</v>
      </c>
      <c r="D7" s="4">
        <v>46056</v>
      </c>
    </row>
    <row r="8" spans="1:11" x14ac:dyDescent="0.35">
      <c r="A8">
        <v>1</v>
      </c>
      <c r="B8">
        <v>528844</v>
      </c>
      <c r="D8" s="4">
        <v>46056</v>
      </c>
    </row>
    <row r="9" spans="1:11" x14ac:dyDescent="0.35">
      <c r="A9">
        <v>1</v>
      </c>
      <c r="B9">
        <v>543785</v>
      </c>
      <c r="D9" s="4">
        <v>46056</v>
      </c>
    </row>
    <row r="10" spans="1:11" x14ac:dyDescent="0.35">
      <c r="A10">
        <v>1</v>
      </c>
      <c r="B10">
        <v>522798</v>
      </c>
      <c r="D10" s="4">
        <v>46056</v>
      </c>
      <c r="E10">
        <f>AVERAGE(B7:B10)</f>
        <v>533515.25</v>
      </c>
      <c r="F10">
        <f>_xlfn.STDEV.S(B7:B10)</f>
        <v>9457.7902766273401</v>
      </c>
      <c r="G10">
        <f>MAX(B7:B10)-MIN(B7:B10)</f>
        <v>20987</v>
      </c>
      <c r="J10">
        <f>E10/A10</f>
        <v>533515.25</v>
      </c>
      <c r="K10">
        <f t="shared" ref="K10:K15" si="0">G10/J10</f>
        <v>3.9337207324439183E-2</v>
      </c>
    </row>
    <row r="11" spans="1:11" x14ac:dyDescent="0.35">
      <c r="A11">
        <v>1.1060000000000001</v>
      </c>
      <c r="B11">
        <v>714044</v>
      </c>
      <c r="D11" s="4">
        <v>46056</v>
      </c>
    </row>
    <row r="12" spans="1:11" x14ac:dyDescent="0.35">
      <c r="A12">
        <v>1.1060000000000001</v>
      </c>
      <c r="B12">
        <v>704231</v>
      </c>
      <c r="D12" s="4">
        <v>46056</v>
      </c>
    </row>
    <row r="13" spans="1:11" x14ac:dyDescent="0.35">
      <c r="A13">
        <v>1.1060000000000001</v>
      </c>
      <c r="B13">
        <v>709233</v>
      </c>
      <c r="D13" s="4">
        <v>46056</v>
      </c>
    </row>
    <row r="14" spans="1:11" x14ac:dyDescent="0.35">
      <c r="A14">
        <v>1.1060000000000001</v>
      </c>
      <c r="B14">
        <v>697764</v>
      </c>
      <c r="D14" s="4">
        <v>46056</v>
      </c>
    </row>
    <row r="15" spans="1:11" x14ac:dyDescent="0.35">
      <c r="A15">
        <v>1.1060000000000001</v>
      </c>
      <c r="B15">
        <v>683599</v>
      </c>
      <c r="D15" s="4">
        <v>46056</v>
      </c>
      <c r="E15">
        <f>AVERAGE(B11:B15)</f>
        <v>701774.2</v>
      </c>
      <c r="F15">
        <f>_xlfn.STDEV.S(B11:B15)</f>
        <v>11817.753115546118</v>
      </c>
      <c r="G15">
        <f>MAX(B11:B15)-MIN(B11:B15)</f>
        <v>30445</v>
      </c>
      <c r="J15">
        <f>E15/A15</f>
        <v>634515.55153707042</v>
      </c>
      <c r="K15">
        <f t="shared" si="0"/>
        <v>4.7981487492700654E-2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3824-F95F-4A24-9AAE-5CBB9DC71786}">
  <dimension ref="A1:F32"/>
  <sheetViews>
    <sheetView workbookViewId="0">
      <selection activeCell="I16" sqref="I16"/>
    </sheetView>
  </sheetViews>
  <sheetFormatPr defaultRowHeight="14.5" x14ac:dyDescent="0.35"/>
  <cols>
    <col min="1" max="1" width="11.1796875" bestFit="1" customWidth="1"/>
    <col min="2" max="2" width="9.453125" bestFit="1" customWidth="1"/>
  </cols>
  <sheetData>
    <row r="1" spans="1:6" x14ac:dyDescent="0.35">
      <c r="A1" t="s">
        <v>36</v>
      </c>
      <c r="B1" t="s">
        <v>34</v>
      </c>
      <c r="C1" t="s">
        <v>40</v>
      </c>
      <c r="D1" t="s">
        <v>37</v>
      </c>
      <c r="E1" t="s">
        <v>38</v>
      </c>
      <c r="F1" t="s">
        <v>39</v>
      </c>
    </row>
    <row r="2" spans="1:6" x14ac:dyDescent="0.35">
      <c r="A2" t="s">
        <v>41</v>
      </c>
      <c r="B2" s="4">
        <v>46050</v>
      </c>
      <c r="E2">
        <v>249598</v>
      </c>
    </row>
    <row r="3" spans="1:6" x14ac:dyDescent="0.35">
      <c r="A3" t="s">
        <v>41</v>
      </c>
      <c r="B3" s="4">
        <v>46050</v>
      </c>
      <c r="E3">
        <v>251517</v>
      </c>
      <c r="F3">
        <v>87039</v>
      </c>
    </row>
    <row r="4" spans="1:6" x14ac:dyDescent="0.35">
      <c r="A4" t="s">
        <v>41</v>
      </c>
      <c r="B4" s="4">
        <v>46050</v>
      </c>
      <c r="E4">
        <v>272055</v>
      </c>
    </row>
    <row r="5" spans="1:6" x14ac:dyDescent="0.35">
      <c r="A5" t="s">
        <v>41</v>
      </c>
      <c r="B5" s="4">
        <v>46050</v>
      </c>
      <c r="E5">
        <v>282520</v>
      </c>
    </row>
    <row r="6" spans="1:6" x14ac:dyDescent="0.35">
      <c r="A6" t="s">
        <v>41</v>
      </c>
      <c r="B6" s="4">
        <v>46050</v>
      </c>
      <c r="E6">
        <v>248387</v>
      </c>
      <c r="F6">
        <v>56490</v>
      </c>
    </row>
    <row r="7" spans="1:6" x14ac:dyDescent="0.35">
      <c r="A7" t="s">
        <v>35</v>
      </c>
      <c r="B7" s="4">
        <v>46050</v>
      </c>
      <c r="C7">
        <v>0</v>
      </c>
      <c r="D7" s="5">
        <v>0.60277777777777775</v>
      </c>
      <c r="E7">
        <v>225574</v>
      </c>
    </row>
    <row r="8" spans="1:6" x14ac:dyDescent="0.35">
      <c r="A8" t="s">
        <v>35</v>
      </c>
      <c r="B8" s="4">
        <v>46050</v>
      </c>
      <c r="C8">
        <v>1</v>
      </c>
      <c r="D8" s="5">
        <v>0.61944444444444446</v>
      </c>
      <c r="E8">
        <v>140498</v>
      </c>
    </row>
    <row r="9" spans="1:6" x14ac:dyDescent="0.35">
      <c r="A9" t="s">
        <v>35</v>
      </c>
      <c r="B9" s="4">
        <v>46050</v>
      </c>
      <c r="C9">
        <v>2</v>
      </c>
      <c r="D9" s="5">
        <v>0.63541666666666663</v>
      </c>
      <c r="E9">
        <v>125651</v>
      </c>
    </row>
    <row r="10" spans="1:6" x14ac:dyDescent="0.35">
      <c r="A10" t="s">
        <v>35</v>
      </c>
      <c r="B10" s="4">
        <v>46050</v>
      </c>
      <c r="C10">
        <v>3</v>
      </c>
      <c r="D10" s="5">
        <v>0.65208333333333335</v>
      </c>
      <c r="E10">
        <v>66659</v>
      </c>
    </row>
    <row r="11" spans="1:6" x14ac:dyDescent="0.35">
      <c r="A11" t="s">
        <v>35</v>
      </c>
      <c r="B11" s="4">
        <v>46050</v>
      </c>
      <c r="C11">
        <v>4</v>
      </c>
      <c r="D11" s="5">
        <v>0.6694444444444444</v>
      </c>
      <c r="E11">
        <v>47494</v>
      </c>
    </row>
    <row r="12" spans="1:6" x14ac:dyDescent="0.35">
      <c r="A12" t="s">
        <v>42</v>
      </c>
      <c r="B12" s="4">
        <v>46050</v>
      </c>
      <c r="C12">
        <v>0</v>
      </c>
      <c r="D12" s="5">
        <v>0.60555555555555551</v>
      </c>
      <c r="E12">
        <v>224243</v>
      </c>
    </row>
    <row r="13" spans="1:6" x14ac:dyDescent="0.35">
      <c r="A13" t="s">
        <v>42</v>
      </c>
      <c r="B13" s="4">
        <v>46050</v>
      </c>
      <c r="C13">
        <v>1</v>
      </c>
      <c r="D13" s="5">
        <v>0.62152777777777779</v>
      </c>
      <c r="E13">
        <v>168552</v>
      </c>
    </row>
    <row r="14" spans="1:6" x14ac:dyDescent="0.35">
      <c r="A14" t="s">
        <v>42</v>
      </c>
      <c r="B14" s="4">
        <v>46050</v>
      </c>
      <c r="C14">
        <v>2</v>
      </c>
      <c r="D14" s="5">
        <v>0.6381944444444444</v>
      </c>
      <c r="E14">
        <v>120968</v>
      </c>
    </row>
    <row r="15" spans="1:6" x14ac:dyDescent="0.35">
      <c r="A15" t="s">
        <v>42</v>
      </c>
      <c r="B15" s="4">
        <v>46050</v>
      </c>
      <c r="C15">
        <v>3</v>
      </c>
      <c r="D15" s="5">
        <v>0.65486111111111112</v>
      </c>
      <c r="E15">
        <v>83726</v>
      </c>
    </row>
    <row r="16" spans="1:6" x14ac:dyDescent="0.35">
      <c r="A16" t="s">
        <v>42</v>
      </c>
      <c r="B16" s="4">
        <v>46050</v>
      </c>
      <c r="C16">
        <v>4</v>
      </c>
      <c r="D16" s="5">
        <v>0.67222222222222228</v>
      </c>
      <c r="E16">
        <v>54544</v>
      </c>
    </row>
    <row r="17" spans="1:3" x14ac:dyDescent="0.35">
      <c r="A17" t="s">
        <v>43</v>
      </c>
      <c r="B17" s="4">
        <v>46050</v>
      </c>
      <c r="C17">
        <v>0</v>
      </c>
    </row>
    <row r="18" spans="1:3" x14ac:dyDescent="0.35">
      <c r="A18" t="s">
        <v>43</v>
      </c>
      <c r="B18" s="4">
        <v>46050</v>
      </c>
      <c r="C18">
        <v>1</v>
      </c>
    </row>
    <row r="19" spans="1:3" x14ac:dyDescent="0.35">
      <c r="A19" t="s">
        <v>43</v>
      </c>
      <c r="B19" s="4">
        <v>46050</v>
      </c>
      <c r="C19">
        <v>2</v>
      </c>
    </row>
    <row r="20" spans="1:3" x14ac:dyDescent="0.35">
      <c r="A20" t="s">
        <v>43</v>
      </c>
      <c r="B20" s="4">
        <v>46050</v>
      </c>
      <c r="C20">
        <v>3</v>
      </c>
    </row>
    <row r="21" spans="1:3" x14ac:dyDescent="0.35">
      <c r="A21" t="s">
        <v>43</v>
      </c>
      <c r="B21" s="4">
        <v>46050</v>
      </c>
      <c r="C21">
        <v>4</v>
      </c>
    </row>
    <row r="22" spans="1:3" x14ac:dyDescent="0.35">
      <c r="B22" s="4">
        <v>46050</v>
      </c>
    </row>
    <row r="23" spans="1:3" x14ac:dyDescent="0.35">
      <c r="B23" s="4">
        <v>46050</v>
      </c>
    </row>
    <row r="24" spans="1:3" x14ac:dyDescent="0.35">
      <c r="B24" s="4">
        <v>46050</v>
      </c>
    </row>
    <row r="25" spans="1:3" x14ac:dyDescent="0.35">
      <c r="B25" s="4">
        <v>46050</v>
      </c>
    </row>
    <row r="26" spans="1:3" x14ac:dyDescent="0.35">
      <c r="B26" s="4">
        <v>46050</v>
      </c>
    </row>
    <row r="27" spans="1:3" x14ac:dyDescent="0.35">
      <c r="B27" s="4">
        <v>46050</v>
      </c>
    </row>
    <row r="28" spans="1:3" x14ac:dyDescent="0.35">
      <c r="B28" s="4">
        <v>46050</v>
      </c>
    </row>
    <row r="29" spans="1:3" x14ac:dyDescent="0.35">
      <c r="B29" s="4">
        <v>46050</v>
      </c>
    </row>
    <row r="30" spans="1:3" x14ac:dyDescent="0.35">
      <c r="B30" s="4">
        <v>46050</v>
      </c>
    </row>
    <row r="31" spans="1:3" x14ac:dyDescent="0.35">
      <c r="B31" s="4">
        <v>46050</v>
      </c>
    </row>
    <row r="32" spans="1:3" x14ac:dyDescent="0.35">
      <c r="B32" s="4">
        <v>46050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Characterization</vt:lpstr>
      <vt:lpstr>Oven Drying &amp; Combustion</vt:lpstr>
      <vt:lpstr>Trial Metadata</vt:lpstr>
      <vt:lpstr>DNA Samples for Sequencing</vt:lpstr>
      <vt:lpstr>Soil Samples for Rutgers</vt:lpstr>
      <vt:lpstr>Soil Sample Management</vt:lpstr>
      <vt:lpstr>H Calibration</vt:lpstr>
      <vt:lpstr>incomplete 01-28-26 Soy-UD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 Guedel</dc:creator>
  <cp:lastModifiedBy>Collin Guedel</cp:lastModifiedBy>
  <dcterms:created xsi:type="dcterms:W3CDTF">2015-06-05T18:17:20Z</dcterms:created>
  <dcterms:modified xsi:type="dcterms:W3CDTF">2026-04-01T19:20:06Z</dcterms:modified>
</cp:coreProperties>
</file>